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thar\OneDrive\دسکتاپ\"/>
    </mc:Choice>
  </mc:AlternateContent>
  <xr:revisionPtr revIDLastSave="0" documentId="13_ncr:1_{111F7F0B-36B2-46B9-8BAE-4BABEBB87F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M3" i="1"/>
  <c r="M2" i="1"/>
  <c r="M1" i="1"/>
  <c r="O2" i="1"/>
  <c r="O1" i="1"/>
  <c r="G3" i="1" s="1"/>
  <c r="F18" i="1" l="1"/>
  <c r="G46" i="1"/>
  <c r="F48" i="1"/>
  <c r="F47" i="1"/>
  <c r="F46" i="1"/>
  <c r="H46" i="1" s="1"/>
  <c r="G50" i="1"/>
  <c r="G47" i="1"/>
  <c r="I47" i="1" s="1"/>
  <c r="J47" i="1" s="1"/>
  <c r="I46" i="1"/>
  <c r="J46" i="1" s="1"/>
  <c r="F45" i="1"/>
  <c r="F32" i="1"/>
  <c r="G31" i="1"/>
  <c r="G34" i="1"/>
  <c r="G33" i="1"/>
  <c r="F31" i="1"/>
  <c r="F30" i="1"/>
  <c r="G18" i="1"/>
  <c r="I18" i="1" s="1"/>
  <c r="J18" i="1" s="1"/>
  <c r="G30" i="1"/>
  <c r="G17" i="1"/>
  <c r="G32" i="1"/>
  <c r="F29" i="1"/>
  <c r="F16" i="1"/>
  <c r="G16" i="1"/>
  <c r="F15" i="1"/>
  <c r="G15" i="1"/>
  <c r="F14" i="1"/>
  <c r="G14" i="1"/>
  <c r="G49" i="1"/>
  <c r="F13" i="1"/>
  <c r="F17" i="1"/>
  <c r="G48" i="1"/>
  <c r="I48" i="1" s="1"/>
  <c r="J48" i="1" s="1"/>
  <c r="F11" i="1"/>
  <c r="G45" i="1"/>
  <c r="G29" i="1"/>
  <c r="G13" i="1"/>
  <c r="F12" i="1"/>
  <c r="F27" i="1"/>
  <c r="F10" i="1"/>
  <c r="G44" i="1"/>
  <c r="G28" i="1"/>
  <c r="G12" i="1"/>
  <c r="F28" i="1"/>
  <c r="F43" i="1"/>
  <c r="F41" i="1"/>
  <c r="F25" i="1"/>
  <c r="F9" i="1"/>
  <c r="G43" i="1"/>
  <c r="G27" i="1"/>
  <c r="G11" i="1"/>
  <c r="F42" i="1"/>
  <c r="F40" i="1"/>
  <c r="F24" i="1"/>
  <c r="F8" i="1"/>
  <c r="G42" i="1"/>
  <c r="G26" i="1"/>
  <c r="G10" i="1"/>
  <c r="F44" i="1"/>
  <c r="F26" i="1"/>
  <c r="F39" i="1"/>
  <c r="F23" i="1"/>
  <c r="F7" i="1"/>
  <c r="G41" i="1"/>
  <c r="G25" i="1"/>
  <c r="G9" i="1"/>
  <c r="F38" i="1"/>
  <c r="F22" i="1"/>
  <c r="F6" i="1"/>
  <c r="G40" i="1"/>
  <c r="G24" i="1"/>
  <c r="G8" i="1"/>
  <c r="F37" i="1"/>
  <c r="F5" i="1"/>
  <c r="G39" i="1"/>
  <c r="G23" i="1"/>
  <c r="G7" i="1"/>
  <c r="F2" i="1"/>
  <c r="F36" i="1"/>
  <c r="F20" i="1"/>
  <c r="F4" i="1"/>
  <c r="G38" i="1"/>
  <c r="G22" i="1"/>
  <c r="G6" i="1"/>
  <c r="F51" i="1"/>
  <c r="F35" i="1"/>
  <c r="F19" i="1"/>
  <c r="F3" i="1"/>
  <c r="G37" i="1"/>
  <c r="G21" i="1"/>
  <c r="G5" i="1"/>
  <c r="F21" i="1"/>
  <c r="F50" i="1"/>
  <c r="F34" i="1"/>
  <c r="G2" i="1"/>
  <c r="G36" i="1"/>
  <c r="G20" i="1"/>
  <c r="G4" i="1"/>
  <c r="F49" i="1"/>
  <c r="F33" i="1"/>
  <c r="G51" i="1"/>
  <c r="G35" i="1"/>
  <c r="G19" i="1"/>
  <c r="I11" i="1" l="1"/>
  <c r="J11" i="1" s="1"/>
  <c r="H11" i="1"/>
  <c r="I36" i="1"/>
  <c r="J36" i="1" s="1"/>
  <c r="H36" i="1"/>
  <c r="I23" i="1"/>
  <c r="J23" i="1" s="1"/>
  <c r="H23" i="1"/>
  <c r="I41" i="1"/>
  <c r="J41" i="1" s="1"/>
  <c r="H41" i="1"/>
  <c r="H18" i="1"/>
  <c r="I20" i="1"/>
  <c r="J20" i="1" s="1"/>
  <c r="H20" i="1"/>
  <c r="H44" i="1"/>
  <c r="I44" i="1"/>
  <c r="J44" i="1" s="1"/>
  <c r="H14" i="1"/>
  <c r="I14" i="1"/>
  <c r="J14" i="1" s="1"/>
  <c r="I45" i="1"/>
  <c r="J45" i="1" s="1"/>
  <c r="H45" i="1"/>
  <c r="I26" i="1"/>
  <c r="J26" i="1" s="1"/>
  <c r="H26" i="1"/>
  <c r="I25" i="1"/>
  <c r="J25" i="1" s="1"/>
  <c r="H25" i="1"/>
  <c r="I50" i="1"/>
  <c r="J50" i="1" s="1"/>
  <c r="H50" i="1"/>
  <c r="H15" i="1"/>
  <c r="I15" i="1"/>
  <c r="J15" i="1" s="1"/>
  <c r="I31" i="1"/>
  <c r="J31" i="1" s="1"/>
  <c r="H31" i="1"/>
  <c r="I43" i="1"/>
  <c r="J43" i="1" s="1"/>
  <c r="H43" i="1"/>
  <c r="H48" i="1"/>
  <c r="I3" i="1"/>
  <c r="J3" i="1" s="1"/>
  <c r="H3" i="1"/>
  <c r="I10" i="1"/>
  <c r="J10" i="1" s="1"/>
  <c r="H10" i="1"/>
  <c r="I4" i="1"/>
  <c r="J4" i="1" s="1"/>
  <c r="H4" i="1"/>
  <c r="I7" i="1"/>
  <c r="J7" i="1" s="1"/>
  <c r="H7" i="1"/>
  <c r="I19" i="1"/>
  <c r="J19" i="1" s="1"/>
  <c r="H19" i="1"/>
  <c r="I8" i="1"/>
  <c r="J8" i="1" s="1"/>
  <c r="H8" i="1"/>
  <c r="I27" i="1"/>
  <c r="J27" i="1" s="1"/>
  <c r="H27" i="1"/>
  <c r="I16" i="1"/>
  <c r="J16" i="1" s="1"/>
  <c r="H16" i="1"/>
  <c r="I30" i="1"/>
  <c r="J30" i="1" s="1"/>
  <c r="H30" i="1"/>
  <c r="I9" i="1"/>
  <c r="J9" i="1" s="1"/>
  <c r="H9" i="1"/>
  <c r="I2" i="1"/>
  <c r="J2" i="1" s="1"/>
  <c r="H2" i="1"/>
  <c r="I39" i="1"/>
  <c r="J39" i="1" s="1"/>
  <c r="H39" i="1"/>
  <c r="H28" i="1"/>
  <c r="I28" i="1"/>
  <c r="J28" i="1" s="1"/>
  <c r="I24" i="1"/>
  <c r="J24" i="1" s="1"/>
  <c r="H24" i="1"/>
  <c r="H12" i="1"/>
  <c r="I12" i="1"/>
  <c r="J12" i="1" s="1"/>
  <c r="I29" i="1"/>
  <c r="J29" i="1" s="1"/>
  <c r="H29" i="1"/>
  <c r="H47" i="1"/>
  <c r="H17" i="1"/>
  <c r="I17" i="1"/>
  <c r="J17" i="1" s="1"/>
  <c r="I32" i="1"/>
  <c r="J32" i="1" s="1"/>
  <c r="H32" i="1"/>
  <c r="I5" i="1"/>
  <c r="J5" i="1" s="1"/>
  <c r="H5" i="1"/>
  <c r="I35" i="1"/>
  <c r="J35" i="1" s="1"/>
  <c r="H35" i="1"/>
  <c r="I51" i="1"/>
  <c r="J51" i="1" s="1"/>
  <c r="H51" i="1"/>
  <c r="I6" i="1"/>
  <c r="J6" i="1" s="1"/>
  <c r="H6" i="1"/>
  <c r="I40" i="1"/>
  <c r="J40" i="1" s="1"/>
  <c r="H40" i="1"/>
  <c r="I13" i="1"/>
  <c r="J13" i="1" s="1"/>
  <c r="H13" i="1"/>
  <c r="H33" i="1"/>
  <c r="I33" i="1"/>
  <c r="J33" i="1" s="1"/>
  <c r="I22" i="1"/>
  <c r="J22" i="1" s="1"/>
  <c r="H22" i="1"/>
  <c r="H42" i="1"/>
  <c r="I42" i="1"/>
  <c r="J42" i="1" s="1"/>
  <c r="I34" i="1"/>
  <c r="J34" i="1" s="1"/>
  <c r="H34" i="1"/>
  <c r="I21" i="1"/>
  <c r="J21" i="1" s="1"/>
  <c r="H21" i="1"/>
  <c r="I37" i="1"/>
  <c r="J37" i="1" s="1"/>
  <c r="H37" i="1"/>
  <c r="H49" i="1"/>
  <c r="I49" i="1"/>
  <c r="J49" i="1" s="1"/>
  <c r="I38" i="1"/>
  <c r="J38" i="1" s="1"/>
  <c r="H38" i="1"/>
</calcChain>
</file>

<file path=xl/sharedStrings.xml><?xml version="1.0" encoding="utf-8"?>
<sst xmlns="http://schemas.openxmlformats.org/spreadsheetml/2006/main" count="70" uniqueCount="40">
  <si>
    <t>x1</t>
  </si>
  <si>
    <t>x2</t>
  </si>
  <si>
    <t>y</t>
  </si>
  <si>
    <t>Y1</t>
  </si>
  <si>
    <t>Y2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</si>
  <si>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</si>
  <si>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</si>
  <si>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</si>
  <si>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</si>
  <si>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</si>
  <si>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</si>
  <si>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</si>
  <si>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</si>
  <si>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</si>
  <si>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</si>
  <si>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</si>
  <si>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</si>
  <si>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</si>
  <si>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</si>
  <si>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</si>
  <si>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</si>
  <si>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</si>
  <si>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</si>
  <si>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</si>
  <si>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</si>
  <si>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</si>
  <si>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</si>
  <si>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</si>
  <si>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</si>
  <si>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beta 0</t>
  </si>
  <si>
    <t>beta 1</t>
  </si>
  <si>
    <t>beta 2</t>
  </si>
  <si>
    <t>yhat 1</t>
  </si>
  <si>
    <t>yhat2</t>
  </si>
  <si>
    <t>beta01</t>
  </si>
  <si>
    <t>beta11</t>
  </si>
  <si>
    <t>beta21</t>
  </si>
  <si>
    <t>yhat1+yhat2</t>
  </si>
  <si>
    <t xml:space="preserve">yhat </t>
  </si>
  <si>
    <t xml:space="preserve">true / false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</si>
</sst>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Sheet1!$A$2:$A$31</c:f>
              <c:numCache>
                <c:formatCode>General</c:formatCode>
                <c:ptCount val="30"/>
                <c:pt idx="0">
                  <c:v>2.0673950378550217</c:v>
                </c:pt>
                <c:pt idx="1">
                  <c:v>3.2236583895864896</c:v>
                </c:pt>
                <c:pt idx="2">
                  <c:v>2.4398785929661244</c:v>
                </c:pt>
                <c:pt idx="3">
                  <c:v>1.6098873705486767</c:v>
                </c:pt>
                <c:pt idx="4">
                  <c:v>2.752667463326361</c:v>
                </c:pt>
                <c:pt idx="5">
                  <c:v>3.4956575594405876</c:v>
                </c:pt>
                <c:pt idx="6">
                  <c:v>3.017787442629924</c:v>
                </c:pt>
                <c:pt idx="7">
                  <c:v>2.3117376106965821</c:v>
                </c:pt>
                <c:pt idx="8">
                  <c:v>2.3862547853495926</c:v>
                </c:pt>
                <c:pt idx="9">
                  <c:v>3.1215107658936176</c:v>
                </c:pt>
                <c:pt idx="10">
                  <c:v>4.649414116400294</c:v>
                </c:pt>
                <c:pt idx="11">
                  <c:v>3.4080345661350293</c:v>
                </c:pt>
                <c:pt idx="12">
                  <c:v>2.7643249116663355</c:v>
                </c:pt>
                <c:pt idx="13">
                  <c:v>2.1604045135318302</c:v>
                </c:pt>
                <c:pt idx="14">
                  <c:v>2.2761058820178732</c:v>
                </c:pt>
                <c:pt idx="15">
                  <c:v>3.8023062036954798</c:v>
                </c:pt>
                <c:pt idx="16">
                  <c:v>4.6651210898999125</c:v>
                </c:pt>
                <c:pt idx="17">
                  <c:v>1.7259411682316568</c:v>
                </c:pt>
                <c:pt idx="18">
                  <c:v>4.2071814126102254</c:v>
                </c:pt>
                <c:pt idx="19">
                  <c:v>4.1902329788426869</c:v>
                </c:pt>
                <c:pt idx="20">
                  <c:v>2.1111735653248616</c:v>
                </c:pt>
                <c:pt idx="21">
                  <c:v>4.0158487384615</c:v>
                </c:pt>
                <c:pt idx="22">
                  <c:v>2.4818995219247881</c:v>
                </c:pt>
                <c:pt idx="23">
                  <c:v>3.556278791918885</c:v>
                </c:pt>
                <c:pt idx="24">
                  <c:v>2.8072996731934836</c:v>
                </c:pt>
                <c:pt idx="25">
                  <c:v>1.8845479492738377</c:v>
                </c:pt>
                <c:pt idx="26">
                  <c:v>4.969010554603301</c:v>
                </c:pt>
                <c:pt idx="27">
                  <c:v>3.0252850895776646</c:v>
                </c:pt>
                <c:pt idx="28">
                  <c:v>2.4689960658433847</c:v>
                </c:pt>
                <c:pt idx="29">
                  <c:v>3.0258978616329841</c:v>
                </c:pt>
              </c:numCache>
            </c:numRef>
          </c:xVal>
          <c:yVal>
            <c:numRef>
              <c:f>Sheet1!$B$2:$B$31</c:f>
              <c:numCache>
                <c:formatCode>General</c:formatCode>
                <c:ptCount val="30"/>
                <c:pt idx="0">
                  <c:v>2.8925818545103539</c:v>
                </c:pt>
                <c:pt idx="1">
                  <c:v>3.9628115549276117</c:v>
                </c:pt>
                <c:pt idx="2">
                  <c:v>2.558307308689109</c:v>
                </c:pt>
                <c:pt idx="3">
                  <c:v>3.0550676304555964</c:v>
                </c:pt>
                <c:pt idx="4">
                  <c:v>3.6456446044467157</c:v>
                </c:pt>
                <c:pt idx="5">
                  <c:v>3.3783634383580647</c:v>
                </c:pt>
                <c:pt idx="6">
                  <c:v>4.1780502973124385</c:v>
                </c:pt>
                <c:pt idx="7">
                  <c:v>4.25382484839065</c:v>
                </c:pt>
                <c:pt idx="8">
                  <c:v>2.9711178588768234</c:v>
                </c:pt>
                <c:pt idx="9">
                  <c:v>4.7692855180939659</c:v>
                </c:pt>
                <c:pt idx="10">
                  <c:v>3.8114147931337357</c:v>
                </c:pt>
                <c:pt idx="11">
                  <c:v>1.0659140419447795</c:v>
                </c:pt>
                <c:pt idx="12">
                  <c:v>2.2629204825789202</c:v>
                </c:pt>
                <c:pt idx="13">
                  <c:v>1.9192156135686673</c:v>
                </c:pt>
                <c:pt idx="14">
                  <c:v>3.2515935193514451</c:v>
                </c:pt>
                <c:pt idx="15">
                  <c:v>4.3053363545623142</c:v>
                </c:pt>
                <c:pt idx="16">
                  <c:v>3.5356776000553509</c:v>
                </c:pt>
                <c:pt idx="17">
                  <c:v>2.6746225860988488</c:v>
                </c:pt>
                <c:pt idx="18">
                  <c:v>1.1424571160459891</c:v>
                </c:pt>
                <c:pt idx="19">
                  <c:v>4.680928107816726</c:v>
                </c:pt>
                <c:pt idx="20">
                  <c:v>2.4958477600448532</c:v>
                </c:pt>
                <c:pt idx="21">
                  <c:v>4.5128625818761066</c:v>
                </c:pt>
                <c:pt idx="22">
                  <c:v>2.6090332388121169</c:v>
                </c:pt>
                <c:pt idx="23">
                  <c:v>3.3506488610582892</c:v>
                </c:pt>
                <c:pt idx="24">
                  <c:v>2.8283010427257977</c:v>
                </c:pt>
                <c:pt idx="25">
                  <c:v>3.908762558538001</c:v>
                </c:pt>
                <c:pt idx="26">
                  <c:v>3.1891157808131538</c:v>
                </c:pt>
                <c:pt idx="27">
                  <c:v>2.6752683273371076</c:v>
                </c:pt>
                <c:pt idx="28">
                  <c:v>3.9464019967708737</c:v>
                </c:pt>
                <c:pt idx="29">
                  <c:v>2.3566154898871901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4-4FB6-86BE-7979A098D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37328"/>
        <c:axId val="423837688"/>
      </c:scatterChart>
      <c:valAx>
        <c:axId val="42383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37688"/>
        <c:crosses val="autoZero"/>
        <c:crossBetween val="midCat"/>
      </c:valAx>
      <c:valAx>
        <c:axId val="4238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3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Sheet1!$A$32:$A$51</c:f>
              <c:numCache>
                <c:formatCode>General</c:formatCode>
                <c:ptCount val="20"/>
                <c:pt idx="0">
                  <c:v>2.4296619004453532</c:v>
                </c:pt>
                <c:pt idx="1">
                  <c:v>4.7402957180602243</c:v>
                </c:pt>
                <c:pt idx="2">
                  <c:v>4.4581988832796924</c:v>
                </c:pt>
                <c:pt idx="3">
                  <c:v>3.5838038557849359</c:v>
                </c:pt>
                <c:pt idx="4">
                  <c:v>3.0963124218978919</c:v>
                </c:pt>
                <c:pt idx="5">
                  <c:v>4.6473419489338994</c:v>
                </c:pt>
                <c:pt idx="6">
                  <c:v>4.1044952568918234</c:v>
                </c:pt>
                <c:pt idx="7">
                  <c:v>5.8435503079672344</c:v>
                </c:pt>
                <c:pt idx="8">
                  <c:v>5.7020374798448756</c:v>
                </c:pt>
                <c:pt idx="9">
                  <c:v>3.8931195932527771</c:v>
                </c:pt>
                <c:pt idx="10">
                  <c:v>3.3644996720831841</c:v>
                </c:pt>
                <c:pt idx="11">
                  <c:v>3.4291965776938014</c:v>
                </c:pt>
                <c:pt idx="12">
                  <c:v>3.4846098161360715</c:v>
                </c:pt>
                <c:pt idx="13">
                  <c:v>3.5127154761576094</c:v>
                </c:pt>
                <c:pt idx="14">
                  <c:v>4.3272327830927679</c:v>
                </c:pt>
                <c:pt idx="15">
                  <c:v>4.0219188223127276</c:v>
                </c:pt>
                <c:pt idx="16">
                  <c:v>3.4937616065726615</c:v>
                </c:pt>
                <c:pt idx="17">
                  <c:v>3.5980272160522873</c:v>
                </c:pt>
                <c:pt idx="18">
                  <c:v>3.1503500496037304</c:v>
                </c:pt>
                <c:pt idx="19">
                  <c:v>3.9111832948983647</c:v>
                </c:pt>
              </c:numCache>
            </c:numRef>
          </c:xVal>
          <c:yVal>
            <c:numRef>
              <c:f>Sheet1!$B$32:$B$51</c:f>
              <c:numCache>
                <c:formatCode>General</c:formatCode>
                <c:ptCount val="20"/>
                <c:pt idx="0">
                  <c:v>2.6626153258839622</c:v>
                </c:pt>
                <c:pt idx="1">
                  <c:v>2.9965044733253308</c:v>
                </c:pt>
                <c:pt idx="2">
                  <c:v>2.7496948961052112</c:v>
                </c:pt>
                <c:pt idx="3">
                  <c:v>2.9337811712175608</c:v>
                </c:pt>
                <c:pt idx="4">
                  <c:v>5.2756095202348661</c:v>
                </c:pt>
                <c:pt idx="5">
                  <c:v>6.432025212328881</c:v>
                </c:pt>
                <c:pt idx="6">
                  <c:v>3.2629204825789202</c:v>
                </c:pt>
                <c:pt idx="7">
                  <c:v>4.4044613888254389</c:v>
                </c:pt>
                <c:pt idx="8">
                  <c:v>3.6549593106465181</c:v>
                </c:pt>
                <c:pt idx="9">
                  <c:v>4.1242074176843744</c:v>
                </c:pt>
                <c:pt idx="10">
                  <c:v>4.7015080427663634</c:v>
                </c:pt>
                <c:pt idx="11">
                  <c:v>3.4276652159896912</c:v>
                </c:pt>
                <c:pt idx="12">
                  <c:v>3.835129074199358</c:v>
                </c:pt>
                <c:pt idx="13">
                  <c:v>4.6867128377052722</c:v>
                </c:pt>
                <c:pt idx="14">
                  <c:v>2.8598392519634217</c:v>
                </c:pt>
                <c:pt idx="15">
                  <c:v>4.175426748683094</c:v>
                </c:pt>
                <c:pt idx="16">
                  <c:v>3.7125473782944027</c:v>
                </c:pt>
                <c:pt idx="17">
                  <c:v>4.0154147983266739</c:v>
                </c:pt>
                <c:pt idx="18">
                  <c:v>5.3998260328662582</c:v>
                </c:pt>
                <c:pt idx="19">
                  <c:v>3.7872305357304867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7-470D-9E55-F8C9937EC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569288"/>
        <c:axId val="647569648"/>
      </c:scatterChart>
      <c:valAx>
        <c:axId val="647569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69648"/>
        <c:crosses val="autoZero"/>
        <c:crossBetween val="midCat"/>
      </c:valAx>
      <c:valAx>
        <c:axId val="6475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69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 flip="none" rotWithShape="1">
        <a:gsLst>
          <a:gs pos="0">
            <a:schemeClr val="accent3">
              <a:lumMod val="5000"/>
              <a:lumOff val="95000"/>
            </a:schemeClr>
          </a:gs>
          <a:gs pos="74000">
            <a:schemeClr val="accent3">
              <a:lumMod val="45000"/>
              <a:lumOff val="55000"/>
            </a:schemeClr>
          </a:gs>
          <a:gs pos="83000">
            <a:schemeClr val="accent3">
              <a:lumMod val="45000"/>
              <a:lumOff val="55000"/>
            </a:schemeClr>
          </a:gs>
          <a:gs pos="100000">
            <a:schemeClr val="accent3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bg1"/>
              </a:solidFill>
            </a:ln>
          </c:spPr>
          <c:marker>
            <c:spPr>
              <a:solidFill>
                <a:srgbClr val="C00000"/>
              </a:solidFill>
            </c:spPr>
          </c:marker>
          <c:dPt>
            <c:idx val="7"/>
            <c:bubble3D val="0"/>
            <c:spPr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D0A-405A-BCA4-CBC2B7DA93DB}"/>
              </c:ext>
            </c:extLst>
          </c:dPt>
          <c:xVal>
            <c:numRef>
              <c:f>Sheet1!$A$32:$A$51</c:f>
              <c:numCache>
                <c:formatCode>General</c:formatCode>
                <c:ptCount val="20"/>
                <c:pt idx="0">
                  <c:v>2.4296619004453532</c:v>
                </c:pt>
                <c:pt idx="1">
                  <c:v>4.7402957180602243</c:v>
                </c:pt>
                <c:pt idx="2">
                  <c:v>4.4581988832796924</c:v>
                </c:pt>
                <c:pt idx="3">
                  <c:v>3.5838038557849359</c:v>
                </c:pt>
                <c:pt idx="4">
                  <c:v>3.0963124218978919</c:v>
                </c:pt>
                <c:pt idx="5">
                  <c:v>4.6473419489338994</c:v>
                </c:pt>
                <c:pt idx="6">
                  <c:v>4.1044952568918234</c:v>
                </c:pt>
                <c:pt idx="7">
                  <c:v>5.8435503079672344</c:v>
                </c:pt>
                <c:pt idx="8">
                  <c:v>5.7020374798448756</c:v>
                </c:pt>
                <c:pt idx="9">
                  <c:v>3.8931195932527771</c:v>
                </c:pt>
                <c:pt idx="10">
                  <c:v>3.3644996720831841</c:v>
                </c:pt>
                <c:pt idx="11">
                  <c:v>3.4291965776938014</c:v>
                </c:pt>
                <c:pt idx="12">
                  <c:v>3.4846098161360715</c:v>
                </c:pt>
                <c:pt idx="13">
                  <c:v>3.5127154761576094</c:v>
                </c:pt>
                <c:pt idx="14">
                  <c:v>4.3272327830927679</c:v>
                </c:pt>
                <c:pt idx="15">
                  <c:v>4.0219188223127276</c:v>
                </c:pt>
                <c:pt idx="16">
                  <c:v>3.4937616065726615</c:v>
                </c:pt>
                <c:pt idx="17">
                  <c:v>3.5980272160522873</c:v>
                </c:pt>
                <c:pt idx="18">
                  <c:v>3.1503500496037304</c:v>
                </c:pt>
                <c:pt idx="19">
                  <c:v>3.9111832948983647</c:v>
                </c:pt>
              </c:numCache>
            </c:numRef>
          </c:xVal>
          <c:yVal>
            <c:numRef>
              <c:f>Sheet1!$B$32:$B$51</c:f>
              <c:numCache>
                <c:formatCode>General</c:formatCode>
                <c:ptCount val="20"/>
                <c:pt idx="0">
                  <c:v>2.6626153258839622</c:v>
                </c:pt>
                <c:pt idx="1">
                  <c:v>2.9965044733253308</c:v>
                </c:pt>
                <c:pt idx="2">
                  <c:v>2.7496948961052112</c:v>
                </c:pt>
                <c:pt idx="3">
                  <c:v>2.9337811712175608</c:v>
                </c:pt>
                <c:pt idx="4">
                  <c:v>5.2756095202348661</c:v>
                </c:pt>
                <c:pt idx="5">
                  <c:v>6.432025212328881</c:v>
                </c:pt>
                <c:pt idx="6">
                  <c:v>3.2629204825789202</c:v>
                </c:pt>
                <c:pt idx="7">
                  <c:v>4.4044613888254389</c:v>
                </c:pt>
                <c:pt idx="8">
                  <c:v>3.6549593106465181</c:v>
                </c:pt>
                <c:pt idx="9">
                  <c:v>4.1242074176843744</c:v>
                </c:pt>
                <c:pt idx="10">
                  <c:v>4.7015080427663634</c:v>
                </c:pt>
                <c:pt idx="11">
                  <c:v>3.4276652159896912</c:v>
                </c:pt>
                <c:pt idx="12">
                  <c:v>3.835129074199358</c:v>
                </c:pt>
                <c:pt idx="13">
                  <c:v>4.6867128377052722</c:v>
                </c:pt>
                <c:pt idx="14">
                  <c:v>2.8598392519634217</c:v>
                </c:pt>
                <c:pt idx="15">
                  <c:v>4.175426748683094</c:v>
                </c:pt>
                <c:pt idx="16">
                  <c:v>3.7125473782944027</c:v>
                </c:pt>
                <c:pt idx="17">
                  <c:v>4.0154147983266739</c:v>
                </c:pt>
                <c:pt idx="18">
                  <c:v>5.3998260328662582</c:v>
                </c:pt>
                <c:pt idx="19">
                  <c:v>3.7872305357304867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0A-405A-BCA4-CBC2B7DA93DB}"/>
            </c:ext>
          </c:extLst>
        </c:ser>
        <c:ser>
          <c:idx val="0"/>
          <c:order val="1"/>
          <c:tx>
            <c:strRef>
              <c:f>Sheet1!$B$1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Sheet1!$A$2:$A$31</c:f>
              <c:numCache>
                <c:formatCode>General</c:formatCode>
                <c:ptCount val="30"/>
                <c:pt idx="0">
                  <c:v>2.0673950378550217</c:v>
                </c:pt>
                <c:pt idx="1">
                  <c:v>3.2236583895864896</c:v>
                </c:pt>
                <c:pt idx="2">
                  <c:v>2.4398785929661244</c:v>
                </c:pt>
                <c:pt idx="3">
                  <c:v>1.6098873705486767</c:v>
                </c:pt>
                <c:pt idx="4">
                  <c:v>2.752667463326361</c:v>
                </c:pt>
                <c:pt idx="5">
                  <c:v>3.4956575594405876</c:v>
                </c:pt>
                <c:pt idx="6">
                  <c:v>3.017787442629924</c:v>
                </c:pt>
                <c:pt idx="7">
                  <c:v>2.3117376106965821</c:v>
                </c:pt>
                <c:pt idx="8">
                  <c:v>2.3862547853495926</c:v>
                </c:pt>
                <c:pt idx="9">
                  <c:v>3.1215107658936176</c:v>
                </c:pt>
                <c:pt idx="10">
                  <c:v>4.649414116400294</c:v>
                </c:pt>
                <c:pt idx="11">
                  <c:v>3.4080345661350293</c:v>
                </c:pt>
                <c:pt idx="12">
                  <c:v>2.7643249116663355</c:v>
                </c:pt>
                <c:pt idx="13">
                  <c:v>2.1604045135318302</c:v>
                </c:pt>
                <c:pt idx="14">
                  <c:v>2.2761058820178732</c:v>
                </c:pt>
                <c:pt idx="15">
                  <c:v>3.8023062036954798</c:v>
                </c:pt>
                <c:pt idx="16">
                  <c:v>4.6651210898999125</c:v>
                </c:pt>
                <c:pt idx="17">
                  <c:v>1.7259411682316568</c:v>
                </c:pt>
                <c:pt idx="18">
                  <c:v>4.2071814126102254</c:v>
                </c:pt>
                <c:pt idx="19">
                  <c:v>4.1902329788426869</c:v>
                </c:pt>
                <c:pt idx="20">
                  <c:v>2.1111735653248616</c:v>
                </c:pt>
                <c:pt idx="21">
                  <c:v>4.0158487384615</c:v>
                </c:pt>
                <c:pt idx="22">
                  <c:v>2.4818995219247881</c:v>
                </c:pt>
                <c:pt idx="23">
                  <c:v>3.556278791918885</c:v>
                </c:pt>
                <c:pt idx="24">
                  <c:v>2.8072996731934836</c:v>
                </c:pt>
                <c:pt idx="25">
                  <c:v>1.8845479492738377</c:v>
                </c:pt>
                <c:pt idx="26">
                  <c:v>4.969010554603301</c:v>
                </c:pt>
                <c:pt idx="27">
                  <c:v>3.0252850895776646</c:v>
                </c:pt>
                <c:pt idx="28">
                  <c:v>2.4689960658433847</c:v>
                </c:pt>
                <c:pt idx="29">
                  <c:v>3.0258978616329841</c:v>
                </c:pt>
              </c:numCache>
            </c:numRef>
          </c:xVal>
          <c:yVal>
            <c:numRef>
              <c:f>Sheet1!$B$2:$B$31</c:f>
              <c:numCache>
                <c:formatCode>General</c:formatCode>
                <c:ptCount val="30"/>
                <c:pt idx="0">
                  <c:v>2.8925818545103539</c:v>
                </c:pt>
                <c:pt idx="1">
                  <c:v>3.9628115549276117</c:v>
                </c:pt>
                <c:pt idx="2">
                  <c:v>2.558307308689109</c:v>
                </c:pt>
                <c:pt idx="3">
                  <c:v>3.0550676304555964</c:v>
                </c:pt>
                <c:pt idx="4">
                  <c:v>3.6456446044467157</c:v>
                </c:pt>
                <c:pt idx="5">
                  <c:v>3.3783634383580647</c:v>
                </c:pt>
                <c:pt idx="6">
                  <c:v>4.1780502973124385</c:v>
                </c:pt>
                <c:pt idx="7">
                  <c:v>4.25382484839065</c:v>
                </c:pt>
                <c:pt idx="8">
                  <c:v>2.9711178588768234</c:v>
                </c:pt>
                <c:pt idx="9">
                  <c:v>4.7692855180939659</c:v>
                </c:pt>
                <c:pt idx="10">
                  <c:v>3.8114147931337357</c:v>
                </c:pt>
                <c:pt idx="11">
                  <c:v>1.0659140419447795</c:v>
                </c:pt>
                <c:pt idx="12">
                  <c:v>2.2629204825789202</c:v>
                </c:pt>
                <c:pt idx="13">
                  <c:v>1.9192156135686673</c:v>
                </c:pt>
                <c:pt idx="14">
                  <c:v>3.2515935193514451</c:v>
                </c:pt>
                <c:pt idx="15">
                  <c:v>4.3053363545623142</c:v>
                </c:pt>
                <c:pt idx="16">
                  <c:v>3.5356776000553509</c:v>
                </c:pt>
                <c:pt idx="17">
                  <c:v>2.6746225860988488</c:v>
                </c:pt>
                <c:pt idx="18">
                  <c:v>1.1424571160459891</c:v>
                </c:pt>
                <c:pt idx="19">
                  <c:v>4.680928107816726</c:v>
                </c:pt>
                <c:pt idx="20">
                  <c:v>2.4958477600448532</c:v>
                </c:pt>
                <c:pt idx="21">
                  <c:v>4.5128625818761066</c:v>
                </c:pt>
                <c:pt idx="22">
                  <c:v>2.6090332388121169</c:v>
                </c:pt>
                <c:pt idx="23">
                  <c:v>3.3506488610582892</c:v>
                </c:pt>
                <c:pt idx="24">
                  <c:v>2.8283010427257977</c:v>
                </c:pt>
                <c:pt idx="25">
                  <c:v>3.908762558538001</c:v>
                </c:pt>
                <c:pt idx="26">
                  <c:v>3.1891157808131538</c:v>
                </c:pt>
                <c:pt idx="27">
                  <c:v>2.6752683273371076</c:v>
                </c:pt>
                <c:pt idx="28">
                  <c:v>3.9464019967708737</c:v>
                </c:pt>
                <c:pt idx="29">
                  <c:v>2.3566154898871901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A-405A-BCA4-CBC2B7DA9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37328"/>
        <c:axId val="423837688"/>
      </c:scatterChart>
      <c:valAx>
        <c:axId val="42383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37688"/>
        <c:crosses val="autoZero"/>
        <c:crossBetween val="midCat"/>
      </c:valAx>
      <c:valAx>
        <c:axId val="4238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37328"/>
        <c:crosses val="autoZero"/>
        <c:crossBetween val="midCat"/>
      </c:valAx>
      <c:spPr>
        <a:ln cap="rnd">
          <a:solidFill>
            <a:schemeClr val="tx1">
              <a:lumMod val="15000"/>
              <a:lumOff val="85000"/>
            </a:schemeClr>
          </a:solidFill>
        </a:ln>
      </c:spPr>
    </c:plotArea>
    <c:plotVisOnly val="1"/>
    <c:dispBlanksAs val="gap"/>
    <c:showDLblsOverMax val="0"/>
    <c:extLst/>
  </c:chart>
  <c:spPr>
    <a:ln cap="sq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604751</xdr:colOff>
      <xdr:row>0</xdr:row>
      <xdr:rowOff>0</xdr:rowOff>
    </xdr:from>
    <xdr:to>
      <xdr:col>25</xdr:col>
      <xdr:colOff>299951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95BE6-43A2-06F1-C9C2-D999616A1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1385</xdr:colOff>
      <xdr:row>15</xdr:row>
      <xdr:rowOff>3810</xdr:rowOff>
    </xdr:from>
    <xdr:to>
      <xdr:col>25</xdr:col>
      <xdr:colOff>306185</xdr:colOff>
      <xdr:row>30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93DB0-6CA2-D818-E05F-643B0D5F8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14</xdr:colOff>
      <xdr:row>30</xdr:row>
      <xdr:rowOff>32891</xdr:rowOff>
    </xdr:from>
    <xdr:to>
      <xdr:col>25</xdr:col>
      <xdr:colOff>304814</xdr:colOff>
      <xdr:row>45</xdr:row>
      <xdr:rowOff>32891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80781D-3700-460F-93DC-4B0A8E282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312803</xdr:colOff>
      <xdr:row>4</xdr:row>
      <xdr:rowOff>72669</xdr:rowOff>
    </xdr:from>
    <xdr:to>
      <xdr:col>15</xdr:col>
      <xdr:colOff>439272</xdr:colOff>
      <xdr:row>13</xdr:row>
      <xdr:rowOff>157291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364139D-E143-6B4C-DABD-0442A823803A}"/>
                </a:ext>
              </a:extLst>
            </xdr:cNvPr>
            <xdr:cNvSpPr txBox="1"/>
          </xdr:nvSpPr>
          <xdr:spPr>
            <a:xfrm>
              <a:off x="6874968" y="789845"/>
              <a:ext cx="4160586" cy="169827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GB" sz="11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GB" sz="1100" i="1">
                              <a:latin typeface="Cambria Math" panose="02040503050406030204" pitchFamily="18" charset="0"/>
                            </a:rPr>
                            <m:t>𝑦</m:t>
                          </m:r>
                        </m:e>
                      </m:acc>
                    </m:e>
                    <m:sub>
                      <m:r>
                        <a:rPr lang="en-GB" sz="110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1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.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709460364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 +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( </m:t>
                  </m:r>
                </m:oMath>
              </a14:m>
              <a:r>
                <a:rPr lang="en-GB" sz="1100"/>
                <a:t>-0.197413649 * x1</a:t>
              </a:r>
              <a:r>
                <a:rPr lang="en-GB" sz="1100" baseline="0"/>
                <a:t> ) + (-0.125670977 * x2 ) </a:t>
              </a:r>
              <a:endParaRPr lang="en-GB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GB" i="1">
                          <a:effectLst/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GB" i="1">
                              <a:effectLst/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GB" i="1">
                              <a:effectLst/>
                              <a:latin typeface="Cambria Math" panose="02040503050406030204" pitchFamily="18" charset="0"/>
                            </a:rPr>
                            <m:t>𝑦</m:t>
                          </m:r>
                        </m:e>
                      </m:acc>
                    </m:e>
                    <m:sub>
                      <m:r>
                        <a:rPr lang="en-GB" i="1">
                          <a:effectLst/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GB" i="1">
                      <a:effectLst/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GB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-0.709460364</a:t>
              </a:r>
              <a:r>
                <a:rPr lang="en-GB">
                  <a:effectLst/>
                </a:rPr>
                <a:t> + </a:t>
              </a:r>
              <a:r>
                <a:rPr lang="en-GB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GB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0.197413649  *x1 ) + ( 0.125670977 * x2 )</a:t>
              </a:r>
              <a:endParaRPr lang="fa-I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fa-I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fa-IR" sz="1100" b="0" i="1" u="none" strike="noStrike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fa-IR" sz="1100" b="0" i="1" u="none" strike="noStrike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fa-IR" sz="1100" b="0" i="1" u="none" strike="noStrike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𝑦</m:t>
                          </m:r>
                        </m:e>
                      </m:acc>
                    </m:e>
                    <m:sub>
                      <m:r>
                        <a:rPr lang="fa-IR" sz="1100" b="0" i="1" u="none" strike="noStrike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fa-IR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&gt;</m:t>
                  </m:r>
                  <m:sSub>
                    <m:sSubPr>
                      <m:ctrlPr>
                        <a:rPr lang="fa-IR" sz="1100" b="0" i="1" u="none" strike="noStrike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fa-IR" sz="1100" b="0" i="1" u="none" strike="noStrike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fa-IR" sz="1100" b="0" i="1" u="none" strike="noStrike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𝑦</m:t>
                          </m:r>
                        </m:e>
                      </m:acc>
                    </m:e>
                    <m:sub>
                      <m:r>
                        <a:rPr lang="fa-IR" sz="1100" b="0" i="1" u="none" strike="noStrike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</m:oMath>
              </a14:m>
              <a:r>
                <a:rPr lang="fa-IR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U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 xmlns:m="http://schemas.openxmlformats.org/officeDocument/2006/math">
                  <m:r>
                    <a:rPr lang="en-US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𝑥</m:t>
                  </m:r>
                  <m:r>
                    <a:rPr lang="en-US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2</m:t>
                  </m:r>
                  <m:r>
                    <a:rPr lang="en-GB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&gt;</m:t>
                  </m:r>
                  <m:r>
                    <a:rPr lang="fa-IR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9</m:t>
                  </m:r>
                  <m:r>
                    <a:rPr lang="fa-IR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fa-IR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624022889453534</m:t>
                  </m:r>
                  <m:r>
                    <a:rPr lang="fa-IR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r>
                    <a:rPr lang="fa-IR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</m:t>
                  </m:r>
                  <m:r>
                    <a:rPr lang="fa-IR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fa-IR" sz="1100" b="0" i="1" u="none" strike="noStrike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570877003005726</m:t>
                  </m:r>
                </m:oMath>
              </a14:m>
              <a:r>
                <a:rPr lang="en-GB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x1</a:t>
              </a:r>
            </a:p>
            <a:p>
              <a:r>
                <a:rPr lang="en-U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ar-OM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اگر </a:t>
              </a:r>
              <a:r>
                <a:rPr lang="en-GB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x₂ &gt; 9. 6240 −1.5708 x1</a:t>
              </a:r>
              <a:r>
                <a:rPr lang="ar-OM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رده ۲ (گروه دوم) </a:t>
              </a:r>
            </a:p>
            <a:p>
              <a:r>
                <a:rPr lang="ar-OM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اگر </a:t>
              </a:r>
              <a:r>
                <a:rPr lang="en-GB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x₂ &lt; 9. 6240 −1.5708 x1</a:t>
              </a:r>
              <a:r>
                <a:rPr lang="ar-OM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رده ۱ (گروه اول) </a:t>
              </a:r>
            </a:p>
            <a:p>
              <a:endParaRPr lang="en-GB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364139D-E143-6B4C-DABD-0442A823803A}"/>
                </a:ext>
              </a:extLst>
            </xdr:cNvPr>
            <xdr:cNvSpPr txBox="1"/>
          </xdr:nvSpPr>
          <xdr:spPr>
            <a:xfrm>
              <a:off x="6874968" y="789845"/>
              <a:ext cx="4160586" cy="169827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i="0">
                  <a:latin typeface="Cambria Math" panose="02040503050406030204" pitchFamily="18" charset="0"/>
                </a:rPr>
                <a:t>𝑦 ̂_1</a:t>
              </a:r>
              <a:r>
                <a:rPr lang="en-US" sz="1100" b="0" i="0">
                  <a:latin typeface="Cambria Math" panose="02040503050406030204" pitchFamily="18" charset="0"/>
                </a:rPr>
                <a:t>=1.709460364  +( </a:t>
              </a:r>
              <a:r>
                <a:rPr lang="en-GB" sz="1100"/>
                <a:t>-0.197413649 * x1</a:t>
              </a:r>
              <a:r>
                <a:rPr lang="en-GB" sz="1100" baseline="0"/>
                <a:t> ) + (-0.125670977 * x2 ) </a:t>
              </a:r>
              <a:endParaRPr lang="en-GB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i="0">
                  <a:effectLst/>
                  <a:latin typeface="Cambria Math" panose="02040503050406030204" pitchFamily="18" charset="0"/>
                </a:rPr>
                <a:t>𝑦 ̂_2=</a:t>
              </a:r>
              <a:r>
                <a:rPr lang="en-GB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-0.709460364</a:t>
              </a:r>
              <a:r>
                <a:rPr lang="en-GB">
                  <a:effectLst/>
                </a:rPr>
                <a:t> + </a:t>
              </a:r>
              <a:r>
                <a:rPr lang="en-GB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GB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0.197413649  *x1 ) + ( 0.125670977 * x2 )</a:t>
              </a:r>
              <a:endParaRPr lang="fa-I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fa-IR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a-IR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 ̂_1&gt;𝑦 ̂_2</a:t>
              </a:r>
              <a:r>
                <a:rPr lang="fa-IR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U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𝑥2</a:t>
              </a:r>
              <a:r>
                <a:rPr lang="en-GB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&gt;</a:t>
              </a:r>
              <a:r>
                <a:rPr lang="fa-IR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9.624022889453534−1.570877003005726</a:t>
              </a:r>
              <a:r>
                <a:rPr lang="en-GB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x1</a:t>
              </a:r>
            </a:p>
            <a:p>
              <a:r>
                <a:rPr lang="en-U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ar-OM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اگر </a:t>
              </a:r>
              <a:r>
                <a:rPr lang="en-GB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x₂ &gt; 9. 6240 −1.5708 x1</a:t>
              </a:r>
              <a:r>
                <a:rPr lang="ar-OM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رده ۲ (گروه دوم) </a:t>
              </a:r>
            </a:p>
            <a:p>
              <a:r>
                <a:rPr lang="ar-OM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اگر </a:t>
              </a:r>
              <a:r>
                <a:rPr lang="en-GB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x₂ &lt; 9. 6240 −1.5708 x1</a:t>
              </a:r>
              <a:r>
                <a:rPr lang="ar-OM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رده ۱ (گروه اول) </a:t>
              </a:r>
            </a:p>
            <a:p>
              <a:endParaRPr lang="en-GB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  <xdr:oneCellAnchor>
    <xdr:from>
      <xdr:col>12</xdr:col>
      <xdr:colOff>247650</xdr:colOff>
      <xdr:row>22</xdr:row>
      <xdr:rowOff>152400</xdr:rowOff>
    </xdr:from>
    <xdr:ext cx="4191000" cy="21145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387546-9921-B1D7-2ABA-79C2D8813A86}"/>
            </a:ext>
          </a:extLst>
        </xdr:cNvPr>
        <xdr:cNvSpPr txBox="1"/>
      </xdr:nvSpPr>
      <xdr:spPr>
        <a:xfrm>
          <a:off x="8115300" y="4343400"/>
          <a:ext cx="4191000" cy="2114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10</xdr:col>
      <xdr:colOff>259976</xdr:colOff>
      <xdr:row>14</xdr:row>
      <xdr:rowOff>125504</xdr:rowOff>
    </xdr:from>
    <xdr:to>
      <xdr:col>15</xdr:col>
      <xdr:colOff>694765</xdr:colOff>
      <xdr:row>22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125E6-5634-8CA8-8235-BB0D372C0443}"/>
            </a:ext>
          </a:extLst>
        </xdr:cNvPr>
        <xdr:cNvSpPr txBox="1"/>
      </xdr:nvSpPr>
      <xdr:spPr>
        <a:xfrm>
          <a:off x="6822141" y="2635622"/>
          <a:ext cx="4468906" cy="1461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OM" sz="1100">
              <a:cs typeface="B Nazanin" panose="00000400000000000000" pitchFamily="2" charset="-78"/>
            </a:rPr>
            <a:t>تعداد کل مشاهدات: </a:t>
          </a:r>
          <a:r>
            <a:rPr lang="en-US" sz="1100" baseline="0">
              <a:cs typeface="B Nazanin" panose="00000400000000000000" pitchFamily="2" charset="-78"/>
            </a:rPr>
            <a:t> 50 </a:t>
          </a:r>
          <a:endParaRPr lang="ar-OM" sz="1100">
            <a:cs typeface="B Nazanin" panose="00000400000000000000" pitchFamily="2" charset="-78"/>
          </a:endParaRPr>
        </a:p>
        <a:p>
          <a:pPr algn="r" rtl="1"/>
          <a:r>
            <a:rPr lang="ar-OM" sz="1100">
              <a:cs typeface="B Nazanin" panose="00000400000000000000" pitchFamily="2" charset="-78"/>
            </a:rPr>
            <a:t>تعداد درست طبقه‌بندی شده: </a:t>
          </a:r>
          <a:r>
            <a:rPr lang="en-US" sz="1100">
              <a:cs typeface="B Nazanin" panose="00000400000000000000" pitchFamily="2" charset="-78"/>
            </a:rPr>
            <a:t>44</a:t>
          </a:r>
          <a:endParaRPr lang="ar-OM" sz="1100">
            <a:cs typeface="B Nazanin" panose="00000400000000000000" pitchFamily="2" charset="-78"/>
          </a:endParaRPr>
        </a:p>
        <a:p>
          <a:pPr algn="r" rtl="1"/>
          <a:r>
            <a:rPr lang="ar-OM" sz="1100">
              <a:cs typeface="B Nazanin" panose="00000400000000000000" pitchFamily="2" charset="-78"/>
            </a:rPr>
            <a:t>تعداد خطا: </a:t>
          </a:r>
          <a:r>
            <a:rPr lang="en-US" sz="1100" baseline="0">
              <a:cs typeface="B Nazanin" panose="00000400000000000000" pitchFamily="2" charset="-78"/>
            </a:rPr>
            <a:t> 6</a:t>
          </a:r>
          <a:endParaRPr lang="ar-OM" sz="1100">
            <a:cs typeface="B Nazanin" panose="00000400000000000000" pitchFamily="2" charset="-78"/>
          </a:endParaRPr>
        </a:p>
        <a:p>
          <a:pPr algn="l" rtl="1"/>
          <a:r>
            <a:rPr lang="en-GB" sz="1100">
              <a:cs typeface="B Nazanin" panose="00000400000000000000" pitchFamily="2" charset="-78"/>
            </a:rPr>
            <a:t>Misclassification Error = 6</a:t>
          </a:r>
          <a:r>
            <a:rPr lang="en-GB" sz="1100" baseline="0">
              <a:cs typeface="B Nazanin" panose="00000400000000000000" pitchFamily="2" charset="-78"/>
            </a:rPr>
            <a:t> / 50  = 0/12 = 12%</a:t>
          </a:r>
          <a:endParaRPr lang="ar-OM" sz="1100">
            <a:cs typeface="B Nazanin" panose="00000400000000000000" pitchFamily="2" charset="-78"/>
          </a:endParaRPr>
        </a:p>
        <a:p>
          <a:pPr algn="r" rtl="1"/>
          <a:r>
            <a:rPr lang="ar-OM" sz="1100">
              <a:cs typeface="B Nazanin" panose="00000400000000000000" pitchFamily="2" charset="-78"/>
            </a:rPr>
            <a:t>نتیجه: به دلیل همپوشانی دو توزیع نرمال، خطای</a:t>
          </a:r>
          <a:r>
            <a:rPr lang="en-US" sz="1100" baseline="0">
              <a:cs typeface="B Nazanin" panose="00000400000000000000" pitchFamily="2" charset="-78"/>
            </a:rPr>
            <a:t>12%</a:t>
          </a:r>
          <a:r>
            <a:rPr lang="ar-OM" sz="1100">
              <a:cs typeface="B Nazanin" panose="00000400000000000000" pitchFamily="2" charset="-78"/>
            </a:rPr>
            <a:t> کاملاً طبیعی و قابل قبول است.</a:t>
          </a:r>
          <a:endParaRPr lang="en-GB" sz="1100">
            <a:cs typeface="B Nazanin" panose="00000400000000000000" pitchFamily="2" charset="-78"/>
          </a:endParaRPr>
        </a:p>
      </xdr:txBody>
    </xdr:sp>
    <xdr:clientData/>
  </xdr:twoCellAnchor>
  <xdr:oneCellAnchor>
    <xdr:from>
      <xdr:col>14</xdr:col>
      <xdr:colOff>699247</xdr:colOff>
      <xdr:row>17</xdr:row>
      <xdr:rowOff>89647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C402DD3-16ED-B277-7653-067B96EE5A84}"/>
            </a:ext>
          </a:extLst>
        </xdr:cNvPr>
        <xdr:cNvSpPr txBox="1"/>
      </xdr:nvSpPr>
      <xdr:spPr>
        <a:xfrm>
          <a:off x="10381129" y="31376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0"/>
  <sheetViews>
    <sheetView tabSelected="1" topLeftCell="E7" zoomScale="85" zoomScaleNormal="40" workbookViewId="0">
      <selection activeCell="L35" sqref="L35"/>
    </sheetView>
  </sheetViews>
  <sheetFormatPr defaultRowHeight="14.4" x14ac:dyDescent="0.3"/>
  <cols>
    <col min="1" max="7" width="9" bestFit="1" customWidth="1"/>
    <col min="8" max="8" width="12.5546875" customWidth="1"/>
    <col min="9" max="9" width="9" bestFit="1" customWidth="1"/>
    <col min="10" max="11" width="11" customWidth="1"/>
    <col min="13" max="13" width="16.77734375" customWidth="1"/>
    <col min="15" max="15" width="13.33203125" customWidth="1"/>
    <col min="16" max="16" width="14.109375" customWidth="1"/>
    <col min="17" max="18" width="9" bestFit="1" customWidth="1"/>
    <col min="19" max="19" width="12.44140625" bestFit="1" customWidth="1"/>
    <col min="20" max="23" width="9" bestFit="1" customWidth="1"/>
    <col min="30" max="37" width="9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</v>
      </c>
      <c r="G1" t="s">
        <v>33</v>
      </c>
      <c r="H1" t="s">
        <v>37</v>
      </c>
      <c r="I1" t="s">
        <v>38</v>
      </c>
      <c r="J1" t="s">
        <v>39</v>
      </c>
      <c r="L1" t="s">
        <v>29</v>
      </c>
      <c r="M1">
        <f>$P$68</f>
        <v>1.7094603635550398</v>
      </c>
      <c r="N1" t="s">
        <v>34</v>
      </c>
      <c r="O1">
        <f>$AD$68</f>
        <v>-0.70946036355503994</v>
      </c>
    </row>
    <row r="2" spans="1:15" x14ac:dyDescent="0.3">
      <c r="A2">
        <v>2.0673950378550217</v>
      </c>
      <c r="B2">
        <v>2.8925818545103539</v>
      </c>
      <c r="C2">
        <v>1</v>
      </c>
      <c r="D2">
        <v>1</v>
      </c>
      <c r="E2">
        <v>0</v>
      </c>
      <c r="F2">
        <f>$M$1+($M$2*A2)+($M$3*B2)</f>
        <v>0.9378147770922689</v>
      </c>
      <c r="G2">
        <f>$O$1+($O$2*A2)+($O$3*B2)</f>
        <v>6.2185222907731652E-2</v>
      </c>
      <c r="H2">
        <f>F2+G2</f>
        <v>1.0000000000000004</v>
      </c>
      <c r="I2">
        <f>IF(F2 &gt; G2, 1, 2)</f>
        <v>1</v>
      </c>
      <c r="J2" t="b">
        <f>IF(C2=I2, TRUE, FALSE)</f>
        <v>1</v>
      </c>
      <c r="L2" t="s">
        <v>30</v>
      </c>
      <c r="M2">
        <f>$P$69</f>
        <v>-0.197413648503103</v>
      </c>
      <c r="N2" t="s">
        <v>35</v>
      </c>
      <c r="O2">
        <f>$AD$69</f>
        <v>0.19741364850310331</v>
      </c>
    </row>
    <row r="3" spans="1:15" x14ac:dyDescent="0.3">
      <c r="A3">
        <v>3.2236583895864896</v>
      </c>
      <c r="B3">
        <v>3.9628115549276117</v>
      </c>
      <c r="C3">
        <v>1</v>
      </c>
      <c r="D3">
        <v>1</v>
      </c>
      <c r="E3">
        <v>0</v>
      </c>
      <c r="F3">
        <f t="shared" ref="F3:F51" si="0">$M$1+($M$2*A3)+($M$3*B3)</f>
        <v>0.57505579760018111</v>
      </c>
      <c r="G3">
        <f t="shared" ref="G3:G51" si="1">$O$1+($O$2*A3)+($O$3*B3)</f>
        <v>0.42494420239981978</v>
      </c>
      <c r="H3">
        <f t="shared" ref="H3:H51" si="2">F3+G3</f>
        <v>1.0000000000000009</v>
      </c>
      <c r="I3">
        <f t="shared" ref="I3:I51" si="3">IF(F3 &gt; G3, 1, 2)</f>
        <v>1</v>
      </c>
      <c r="J3" t="b">
        <f t="shared" ref="J3:J51" si="4">IF(C3=I3, TRUE, FALSE)</f>
        <v>1</v>
      </c>
      <c r="L3" t="s">
        <v>31</v>
      </c>
      <c r="M3">
        <f>$P$70</f>
        <v>-0.12567097749568601</v>
      </c>
      <c r="N3" t="s">
        <v>36</v>
      </c>
      <c r="O3">
        <f>$AD$70</f>
        <v>0.12567097749568601</v>
      </c>
    </row>
    <row r="4" spans="1:15" x14ac:dyDescent="0.3">
      <c r="A4">
        <v>2.4398785929661244</v>
      </c>
      <c r="B4">
        <v>2.558307308689109</v>
      </c>
      <c r="C4">
        <v>1</v>
      </c>
      <c r="D4">
        <v>1</v>
      </c>
      <c r="E4">
        <v>0</v>
      </c>
      <c r="F4">
        <f t="shared" si="0"/>
        <v>0.90629004839566196</v>
      </c>
      <c r="G4">
        <f t="shared" si="1"/>
        <v>9.370995160433887E-2</v>
      </c>
      <c r="H4">
        <f t="shared" si="2"/>
        <v>1.0000000000000009</v>
      </c>
      <c r="I4">
        <f t="shared" si="3"/>
        <v>1</v>
      </c>
      <c r="J4" t="b">
        <f t="shared" si="4"/>
        <v>1</v>
      </c>
    </row>
    <row r="5" spans="1:15" x14ac:dyDescent="0.3">
      <c r="A5">
        <v>1.6098873705486767</v>
      </c>
      <c r="B5">
        <v>3.0550676304555964</v>
      </c>
      <c r="C5">
        <v>1</v>
      </c>
      <c r="D5">
        <v>1</v>
      </c>
      <c r="E5">
        <v>0</v>
      </c>
      <c r="F5">
        <f t="shared" si="0"/>
        <v>1.0077132886211746</v>
      </c>
      <c r="G5">
        <f t="shared" si="1"/>
        <v>-7.713288621174208E-3</v>
      </c>
      <c r="H5">
        <f t="shared" si="2"/>
        <v>1.0000000000000004</v>
      </c>
      <c r="I5">
        <f t="shared" si="3"/>
        <v>1</v>
      </c>
      <c r="J5" t="b">
        <f t="shared" si="4"/>
        <v>1</v>
      </c>
    </row>
    <row r="6" spans="1:15" x14ac:dyDescent="0.3">
      <c r="A6">
        <v>2.752667463326361</v>
      </c>
      <c r="B6">
        <v>3.6456446044467157</v>
      </c>
      <c r="C6">
        <v>1</v>
      </c>
      <c r="D6">
        <v>1</v>
      </c>
      <c r="E6">
        <v>0</v>
      </c>
      <c r="F6">
        <f t="shared" si="0"/>
        <v>0.7078945154613091</v>
      </c>
      <c r="G6">
        <f t="shared" si="1"/>
        <v>0.29210548453869156</v>
      </c>
      <c r="H6">
        <f t="shared" si="2"/>
        <v>1.0000000000000007</v>
      </c>
      <c r="I6">
        <f t="shared" si="3"/>
        <v>1</v>
      </c>
      <c r="J6" t="b">
        <f t="shared" si="4"/>
        <v>1</v>
      </c>
    </row>
    <row r="7" spans="1:15" x14ac:dyDescent="0.3">
      <c r="A7">
        <v>3.4956575594405876</v>
      </c>
      <c r="B7">
        <v>3.3783634383580647</v>
      </c>
      <c r="C7">
        <v>1</v>
      </c>
      <c r="D7">
        <v>1</v>
      </c>
      <c r="E7">
        <v>0</v>
      </c>
      <c r="F7">
        <f t="shared" si="0"/>
        <v>0.59480761519427605</v>
      </c>
      <c r="G7">
        <f t="shared" si="1"/>
        <v>0.40519238480572495</v>
      </c>
      <c r="H7">
        <f t="shared" si="2"/>
        <v>1.0000000000000009</v>
      </c>
      <c r="I7">
        <f t="shared" si="3"/>
        <v>1</v>
      </c>
      <c r="J7" t="b">
        <f t="shared" si="4"/>
        <v>1</v>
      </c>
    </row>
    <row r="8" spans="1:15" x14ac:dyDescent="0.3">
      <c r="A8">
        <v>3.017787442629924</v>
      </c>
      <c r="B8">
        <v>4.1780502973124385</v>
      </c>
      <c r="C8">
        <v>1</v>
      </c>
      <c r="D8">
        <v>1</v>
      </c>
      <c r="E8">
        <v>0</v>
      </c>
      <c r="F8">
        <f t="shared" si="0"/>
        <v>0.58864826920922209</v>
      </c>
      <c r="G8">
        <f t="shared" si="1"/>
        <v>0.41135173079077858</v>
      </c>
      <c r="H8">
        <f t="shared" si="2"/>
        <v>1.0000000000000007</v>
      </c>
      <c r="I8">
        <f t="shared" si="3"/>
        <v>1</v>
      </c>
      <c r="J8" t="b">
        <f t="shared" si="4"/>
        <v>1</v>
      </c>
    </row>
    <row r="9" spans="1:15" x14ac:dyDescent="0.3">
      <c r="A9">
        <v>2.3117376106965821</v>
      </c>
      <c r="B9">
        <v>4.25382484839065</v>
      </c>
      <c r="C9">
        <v>1</v>
      </c>
      <c r="D9">
        <v>1</v>
      </c>
      <c r="E9">
        <v>0</v>
      </c>
      <c r="F9">
        <f t="shared" si="0"/>
        <v>0.71850948065289033</v>
      </c>
      <c r="G9">
        <f t="shared" si="1"/>
        <v>0.28149051934711034</v>
      </c>
      <c r="H9">
        <f t="shared" si="2"/>
        <v>1.0000000000000007</v>
      </c>
      <c r="I9">
        <f t="shared" si="3"/>
        <v>1</v>
      </c>
      <c r="J9" t="b">
        <f t="shared" si="4"/>
        <v>1</v>
      </c>
    </row>
    <row r="10" spans="1:15" x14ac:dyDescent="0.3">
      <c r="A10">
        <v>2.3862547853495926</v>
      </c>
      <c r="B10">
        <v>2.9711178588768234</v>
      </c>
      <c r="C10">
        <v>1</v>
      </c>
      <c r="D10">
        <v>1</v>
      </c>
      <c r="E10">
        <v>0</v>
      </c>
      <c r="F10">
        <f t="shared" si="0"/>
        <v>0.86499781454124758</v>
      </c>
      <c r="G10">
        <f t="shared" si="1"/>
        <v>0.13500218545875287</v>
      </c>
      <c r="H10">
        <f t="shared" si="2"/>
        <v>1.0000000000000004</v>
      </c>
      <c r="I10">
        <f t="shared" si="3"/>
        <v>1</v>
      </c>
      <c r="J10" t="b">
        <f t="shared" si="4"/>
        <v>1</v>
      </c>
    </row>
    <row r="11" spans="1:15" x14ac:dyDescent="0.3">
      <c r="A11">
        <v>3.1215107658936176</v>
      </c>
      <c r="B11">
        <v>4.7692855180939659</v>
      </c>
      <c r="C11">
        <v>1</v>
      </c>
      <c r="D11">
        <v>1</v>
      </c>
      <c r="E11">
        <v>0</v>
      </c>
      <c r="F11">
        <f t="shared" si="0"/>
        <v>0.49387076140337749</v>
      </c>
      <c r="G11">
        <f t="shared" si="1"/>
        <v>0.50612923859662351</v>
      </c>
      <c r="H11">
        <f t="shared" si="2"/>
        <v>1.0000000000000009</v>
      </c>
      <c r="I11">
        <f t="shared" si="3"/>
        <v>2</v>
      </c>
      <c r="J11" t="b">
        <f t="shared" si="4"/>
        <v>0</v>
      </c>
    </row>
    <row r="12" spans="1:15" x14ac:dyDescent="0.3">
      <c r="A12">
        <v>4.649414116400294</v>
      </c>
      <c r="B12">
        <v>3.8114147931337357</v>
      </c>
      <c r="C12">
        <v>1</v>
      </c>
      <c r="D12">
        <v>1</v>
      </c>
      <c r="E12">
        <v>0</v>
      </c>
      <c r="F12">
        <f t="shared" si="0"/>
        <v>0.31261833673999256</v>
      </c>
      <c r="G12">
        <f t="shared" si="1"/>
        <v>0.68738166326000871</v>
      </c>
      <c r="H12">
        <f t="shared" si="2"/>
        <v>1.0000000000000013</v>
      </c>
      <c r="I12">
        <f t="shared" si="3"/>
        <v>2</v>
      </c>
      <c r="J12" t="b">
        <f t="shared" si="4"/>
        <v>0</v>
      </c>
    </row>
    <row r="13" spans="1:15" x14ac:dyDescent="0.3">
      <c r="A13">
        <v>3.4080345661350293</v>
      </c>
      <c r="B13">
        <v>1.0659140419447795</v>
      </c>
      <c r="C13">
        <v>1</v>
      </c>
      <c r="D13">
        <v>1</v>
      </c>
      <c r="E13">
        <v>0</v>
      </c>
      <c r="F13">
        <f t="shared" si="0"/>
        <v>0.90271336605205588</v>
      </c>
      <c r="G13">
        <f t="shared" si="1"/>
        <v>9.7286633947944984E-2</v>
      </c>
      <c r="H13">
        <f t="shared" si="2"/>
        <v>1.0000000000000009</v>
      </c>
      <c r="I13">
        <f t="shared" si="3"/>
        <v>1</v>
      </c>
      <c r="J13" t="b">
        <f t="shared" si="4"/>
        <v>1</v>
      </c>
    </row>
    <row r="14" spans="1:15" x14ac:dyDescent="0.3">
      <c r="A14">
        <v>2.7643249116663355</v>
      </c>
      <c r="B14">
        <v>2.2629204825789202</v>
      </c>
      <c r="C14">
        <v>1</v>
      </c>
      <c r="D14">
        <v>1</v>
      </c>
      <c r="E14">
        <v>0</v>
      </c>
      <c r="F14">
        <f t="shared" si="0"/>
        <v>0.87936146805426829</v>
      </c>
      <c r="G14">
        <f t="shared" si="1"/>
        <v>0.12063853194573254</v>
      </c>
      <c r="H14">
        <f t="shared" si="2"/>
        <v>1.0000000000000009</v>
      </c>
      <c r="I14">
        <f t="shared" si="3"/>
        <v>1</v>
      </c>
      <c r="J14" t="b">
        <f t="shared" si="4"/>
        <v>1</v>
      </c>
    </row>
    <row r="15" spans="1:15" x14ac:dyDescent="0.3">
      <c r="A15">
        <v>2.1604045135318302</v>
      </c>
      <c r="B15">
        <v>1.9192156135686673</v>
      </c>
      <c r="C15">
        <v>1</v>
      </c>
      <c r="D15">
        <v>1</v>
      </c>
      <c r="E15">
        <v>0</v>
      </c>
      <c r="F15">
        <f t="shared" si="0"/>
        <v>1.0417773241139927</v>
      </c>
      <c r="G15">
        <f t="shared" si="1"/>
        <v>-4.1777324113992126E-2</v>
      </c>
      <c r="H15">
        <f t="shared" si="2"/>
        <v>1.0000000000000007</v>
      </c>
      <c r="I15">
        <f t="shared" si="3"/>
        <v>1</v>
      </c>
      <c r="J15" t="b">
        <f t="shared" si="4"/>
        <v>1</v>
      </c>
    </row>
    <row r="16" spans="1:15" x14ac:dyDescent="0.3">
      <c r="A16">
        <v>2.2761058820178732</v>
      </c>
      <c r="B16">
        <v>3.2515935193514451</v>
      </c>
      <c r="C16">
        <v>1</v>
      </c>
      <c r="D16">
        <v>1</v>
      </c>
      <c r="E16">
        <v>0</v>
      </c>
      <c r="F16">
        <f t="shared" si="0"/>
        <v>0.85149506101098427</v>
      </c>
      <c r="G16">
        <f t="shared" si="1"/>
        <v>0.14850493898901629</v>
      </c>
      <c r="H16">
        <f t="shared" si="2"/>
        <v>1.0000000000000004</v>
      </c>
      <c r="I16">
        <f t="shared" si="3"/>
        <v>1</v>
      </c>
      <c r="J16" t="b">
        <f t="shared" si="4"/>
        <v>1</v>
      </c>
    </row>
    <row r="17" spans="1:10" x14ac:dyDescent="0.3">
      <c r="A17">
        <v>3.8023062036954798</v>
      </c>
      <c r="B17">
        <v>4.3053363545623142</v>
      </c>
      <c r="C17">
        <v>1</v>
      </c>
      <c r="D17">
        <v>1</v>
      </c>
      <c r="E17">
        <v>0</v>
      </c>
      <c r="F17">
        <f t="shared" si="0"/>
        <v>0.41777739503197298</v>
      </c>
      <c r="G17">
        <f t="shared" si="1"/>
        <v>0.58222260496802802</v>
      </c>
      <c r="H17">
        <f t="shared" si="2"/>
        <v>1.0000000000000009</v>
      </c>
      <c r="I17">
        <f t="shared" si="3"/>
        <v>2</v>
      </c>
      <c r="J17" t="b">
        <f t="shared" si="4"/>
        <v>0</v>
      </c>
    </row>
    <row r="18" spans="1:10" x14ac:dyDescent="0.3">
      <c r="A18">
        <v>4.6651210898999125</v>
      </c>
      <c r="B18">
        <v>3.5356776000553509</v>
      </c>
      <c r="C18">
        <v>1</v>
      </c>
      <c r="D18">
        <v>1</v>
      </c>
      <c r="E18">
        <v>0</v>
      </c>
      <c r="F18">
        <f t="shared" si="0"/>
        <v>0.34416972838056864</v>
      </c>
      <c r="G18">
        <f t="shared" si="1"/>
        <v>0.65583027161943264</v>
      </c>
      <c r="H18">
        <f t="shared" si="2"/>
        <v>1.0000000000000013</v>
      </c>
      <c r="I18">
        <f t="shared" si="3"/>
        <v>2</v>
      </c>
      <c r="J18" t="b">
        <f t="shared" si="4"/>
        <v>0</v>
      </c>
    </row>
    <row r="19" spans="1:10" x14ac:dyDescent="0.3">
      <c r="A19">
        <v>1.7259411682316568</v>
      </c>
      <c r="B19">
        <v>2.6746225860988488</v>
      </c>
      <c r="C19">
        <v>1</v>
      </c>
      <c r="D19">
        <v>1</v>
      </c>
      <c r="E19">
        <v>0</v>
      </c>
      <c r="F19">
        <f t="shared" si="0"/>
        <v>1.0326135856056387</v>
      </c>
      <c r="G19">
        <f t="shared" si="1"/>
        <v>-3.2613585605638207E-2</v>
      </c>
      <c r="H19">
        <f t="shared" si="2"/>
        <v>1.0000000000000004</v>
      </c>
      <c r="I19">
        <f t="shared" si="3"/>
        <v>1</v>
      </c>
      <c r="J19" t="b">
        <f t="shared" si="4"/>
        <v>1</v>
      </c>
    </row>
    <row r="20" spans="1:10" x14ac:dyDescent="0.3">
      <c r="A20">
        <v>4.2071814126102254</v>
      </c>
      <c r="B20">
        <v>1.1424571160459891</v>
      </c>
      <c r="C20">
        <v>1</v>
      </c>
      <c r="D20">
        <v>1</v>
      </c>
      <c r="E20">
        <v>0</v>
      </c>
      <c r="F20">
        <f t="shared" si="0"/>
        <v>0.73533162845681466</v>
      </c>
      <c r="G20">
        <f t="shared" si="1"/>
        <v>0.26466837154318656</v>
      </c>
      <c r="H20">
        <f t="shared" si="2"/>
        <v>1.0000000000000013</v>
      </c>
      <c r="I20">
        <f t="shared" si="3"/>
        <v>1</v>
      </c>
      <c r="J20" t="b">
        <f t="shared" si="4"/>
        <v>1</v>
      </c>
    </row>
    <row r="21" spans="1:10" x14ac:dyDescent="0.3">
      <c r="A21">
        <v>4.1902329788426869</v>
      </c>
      <c r="B21">
        <v>4.680928107816726</v>
      </c>
      <c r="C21">
        <v>1</v>
      </c>
      <c r="D21">
        <v>1</v>
      </c>
      <c r="E21">
        <v>0</v>
      </c>
      <c r="F21">
        <f t="shared" si="0"/>
        <v>0.29399437222731961</v>
      </c>
      <c r="G21">
        <f t="shared" si="1"/>
        <v>0.70600562777268161</v>
      </c>
      <c r="H21">
        <f t="shared" si="2"/>
        <v>1.0000000000000013</v>
      </c>
      <c r="I21">
        <f t="shared" si="3"/>
        <v>2</v>
      </c>
      <c r="J21" t="b">
        <f t="shared" si="4"/>
        <v>0</v>
      </c>
    </row>
    <row r="22" spans="1:10" x14ac:dyDescent="0.3">
      <c r="A22">
        <v>2.1111735653248616</v>
      </c>
      <c r="B22">
        <v>2.4958477600448532</v>
      </c>
      <c r="C22">
        <v>1</v>
      </c>
      <c r="D22">
        <v>1</v>
      </c>
      <c r="E22">
        <v>0</v>
      </c>
      <c r="F22">
        <f t="shared" si="0"/>
        <v>0.97903025971569968</v>
      </c>
      <c r="G22">
        <f t="shared" si="1"/>
        <v>2.0969740284300764E-2</v>
      </c>
      <c r="H22">
        <f t="shared" si="2"/>
        <v>1.0000000000000004</v>
      </c>
      <c r="I22">
        <f t="shared" si="3"/>
        <v>1</v>
      </c>
      <c r="J22" t="b">
        <f t="shared" si="4"/>
        <v>1</v>
      </c>
    </row>
    <row r="23" spans="1:10" x14ac:dyDescent="0.3">
      <c r="A23">
        <v>4.0158487384615</v>
      </c>
      <c r="B23">
        <v>4.5128625818761066</v>
      </c>
      <c r="C23">
        <v>1</v>
      </c>
      <c r="D23">
        <v>1</v>
      </c>
      <c r="E23">
        <v>0</v>
      </c>
      <c r="F23">
        <f t="shared" si="0"/>
        <v>0.34954116029069593</v>
      </c>
      <c r="G23">
        <f t="shared" si="1"/>
        <v>0.65045883970930518</v>
      </c>
      <c r="H23">
        <f t="shared" si="2"/>
        <v>1.0000000000000011</v>
      </c>
      <c r="I23">
        <f t="shared" si="3"/>
        <v>2</v>
      </c>
      <c r="J23" t="b">
        <f t="shared" si="4"/>
        <v>0</v>
      </c>
    </row>
    <row r="24" spans="1:10" x14ac:dyDescent="0.3">
      <c r="A24">
        <v>2.4818995219247881</v>
      </c>
      <c r="B24">
        <v>2.6090332388121169</v>
      </c>
      <c r="C24">
        <v>1</v>
      </c>
      <c r="D24">
        <v>1</v>
      </c>
      <c r="E24">
        <v>0</v>
      </c>
      <c r="F24">
        <f t="shared" si="0"/>
        <v>0.89161976627350592</v>
      </c>
      <c r="G24">
        <f t="shared" si="1"/>
        <v>0.10838023372649463</v>
      </c>
      <c r="H24">
        <f t="shared" si="2"/>
        <v>1.0000000000000004</v>
      </c>
      <c r="I24">
        <f t="shared" si="3"/>
        <v>1</v>
      </c>
      <c r="J24" t="b">
        <f t="shared" si="4"/>
        <v>1</v>
      </c>
    </row>
    <row r="25" spans="1:10" x14ac:dyDescent="0.3">
      <c r="A25">
        <v>3.556278791918885</v>
      </c>
      <c r="B25">
        <v>3.3506488610582892</v>
      </c>
      <c r="C25">
        <v>1</v>
      </c>
      <c r="D25">
        <v>1</v>
      </c>
      <c r="E25">
        <v>0</v>
      </c>
      <c r="F25">
        <f t="shared" si="0"/>
        <v>0.58632307453412325</v>
      </c>
      <c r="G25">
        <f t="shared" si="1"/>
        <v>0.41367692546587786</v>
      </c>
      <c r="H25">
        <f t="shared" si="2"/>
        <v>1.0000000000000011</v>
      </c>
      <c r="I25">
        <f t="shared" si="3"/>
        <v>1</v>
      </c>
      <c r="J25" t="b">
        <f t="shared" si="4"/>
        <v>1</v>
      </c>
    </row>
    <row r="26" spans="1:10" x14ac:dyDescent="0.3">
      <c r="A26">
        <v>2.8072996731934836</v>
      </c>
      <c r="B26">
        <v>2.8283010427257977</v>
      </c>
      <c r="C26">
        <v>1</v>
      </c>
      <c r="D26">
        <v>1</v>
      </c>
      <c r="E26">
        <v>0</v>
      </c>
      <c r="F26">
        <f t="shared" si="0"/>
        <v>0.79982573593692652</v>
      </c>
      <c r="G26">
        <f t="shared" si="1"/>
        <v>0.20017426406307426</v>
      </c>
      <c r="H26">
        <f t="shared" si="2"/>
        <v>1.0000000000000009</v>
      </c>
      <c r="I26">
        <f t="shared" si="3"/>
        <v>1</v>
      </c>
      <c r="J26" t="b">
        <f t="shared" si="4"/>
        <v>1</v>
      </c>
    </row>
    <row r="27" spans="1:10" x14ac:dyDescent="0.3">
      <c r="A27">
        <v>1.8845479492738377</v>
      </c>
      <c r="B27">
        <v>3.908762558538001</v>
      </c>
      <c r="C27">
        <v>1</v>
      </c>
      <c r="D27">
        <v>1</v>
      </c>
      <c r="E27">
        <v>0</v>
      </c>
      <c r="F27">
        <f t="shared" si="0"/>
        <v>0.8462068655798417</v>
      </c>
      <c r="G27">
        <f t="shared" si="1"/>
        <v>0.15379313442015885</v>
      </c>
      <c r="H27">
        <f t="shared" si="2"/>
        <v>1.0000000000000004</v>
      </c>
      <c r="I27">
        <f t="shared" si="3"/>
        <v>1</v>
      </c>
      <c r="J27" t="b">
        <f t="shared" si="4"/>
        <v>1</v>
      </c>
    </row>
    <row r="28" spans="1:10" x14ac:dyDescent="0.3">
      <c r="A28">
        <v>4.969010554603301</v>
      </c>
      <c r="B28">
        <v>3.1891157808131538</v>
      </c>
      <c r="C28">
        <v>1</v>
      </c>
      <c r="D28">
        <v>1</v>
      </c>
      <c r="E28">
        <v>0</v>
      </c>
      <c r="F28">
        <f t="shared" si="0"/>
        <v>0.32773056299866793</v>
      </c>
      <c r="G28">
        <f t="shared" si="1"/>
        <v>0.67226943700133357</v>
      </c>
      <c r="H28">
        <f t="shared" si="2"/>
        <v>1.0000000000000016</v>
      </c>
      <c r="I28">
        <f t="shared" si="3"/>
        <v>2</v>
      </c>
      <c r="J28" t="b">
        <f t="shared" si="4"/>
        <v>0</v>
      </c>
    </row>
    <row r="29" spans="1:10" x14ac:dyDescent="0.3">
      <c r="A29">
        <v>3.0252850895776646</v>
      </c>
      <c r="B29">
        <v>2.6752683273371076</v>
      </c>
      <c r="C29">
        <v>1</v>
      </c>
      <c r="D29">
        <v>1</v>
      </c>
      <c r="E29">
        <v>0</v>
      </c>
      <c r="F29">
        <f t="shared" si="0"/>
        <v>0.77602421049977321</v>
      </c>
      <c r="G29">
        <f t="shared" si="1"/>
        <v>0.22397578950022778</v>
      </c>
      <c r="H29">
        <f t="shared" si="2"/>
        <v>1.0000000000000009</v>
      </c>
      <c r="I29">
        <f t="shared" si="3"/>
        <v>1</v>
      </c>
      <c r="J29" t="b">
        <f t="shared" si="4"/>
        <v>1</v>
      </c>
    </row>
    <row r="30" spans="1:10" x14ac:dyDescent="0.3">
      <c r="A30">
        <v>2.4689960658433847</v>
      </c>
      <c r="B30">
        <v>3.9464019967708737</v>
      </c>
      <c r="C30">
        <v>1</v>
      </c>
      <c r="D30">
        <v>1</v>
      </c>
      <c r="E30">
        <v>0</v>
      </c>
      <c r="F30">
        <f t="shared" si="0"/>
        <v>0.72609864553196701</v>
      </c>
      <c r="G30">
        <f t="shared" si="1"/>
        <v>0.27390135446803371</v>
      </c>
      <c r="H30">
        <f t="shared" si="2"/>
        <v>1.0000000000000007</v>
      </c>
      <c r="I30">
        <f t="shared" si="3"/>
        <v>1</v>
      </c>
      <c r="J30" t="b">
        <f t="shared" si="4"/>
        <v>1</v>
      </c>
    </row>
    <row r="31" spans="1:10" x14ac:dyDescent="0.3">
      <c r="A31">
        <v>3.0258978616329841</v>
      </c>
      <c r="B31">
        <v>2.3566154898871901</v>
      </c>
      <c r="C31">
        <v>1</v>
      </c>
      <c r="D31">
        <v>1</v>
      </c>
      <c r="E31">
        <v>0</v>
      </c>
      <c r="F31">
        <f t="shared" si="0"/>
        <v>0.8159486544967367</v>
      </c>
      <c r="G31">
        <f t="shared" si="1"/>
        <v>0.18405134550326407</v>
      </c>
      <c r="H31">
        <f t="shared" si="2"/>
        <v>1.0000000000000009</v>
      </c>
      <c r="I31">
        <f t="shared" si="3"/>
        <v>1</v>
      </c>
      <c r="J31" t="b">
        <f t="shared" si="4"/>
        <v>1</v>
      </c>
    </row>
    <row r="32" spans="1:10" x14ac:dyDescent="0.3">
      <c r="A32">
        <v>2.4296619004453532</v>
      </c>
      <c r="B32">
        <v>2.6626153258839622</v>
      </c>
      <c r="C32">
        <v>2</v>
      </c>
      <c r="D32">
        <v>0</v>
      </c>
      <c r="E32">
        <v>1</v>
      </c>
      <c r="F32">
        <f t="shared" si="0"/>
        <v>0.89519847246030759</v>
      </c>
      <c r="G32">
        <f t="shared" si="1"/>
        <v>0.10480152753969307</v>
      </c>
      <c r="H32">
        <f t="shared" si="2"/>
        <v>1.0000000000000007</v>
      </c>
      <c r="I32">
        <f t="shared" si="3"/>
        <v>1</v>
      </c>
      <c r="J32" t="b">
        <f t="shared" si="4"/>
        <v>0</v>
      </c>
    </row>
    <row r="33" spans="1:10" x14ac:dyDescent="0.3">
      <c r="A33">
        <v>4.7402957180602243</v>
      </c>
      <c r="B33">
        <v>2.9965044733253308</v>
      </c>
      <c r="C33">
        <v>2</v>
      </c>
      <c r="D33">
        <v>0</v>
      </c>
      <c r="E33">
        <v>1</v>
      </c>
      <c r="F33">
        <f t="shared" si="0"/>
        <v>0.39708764463614438</v>
      </c>
      <c r="G33">
        <f t="shared" si="1"/>
        <v>0.6029123553638569</v>
      </c>
      <c r="H33">
        <f t="shared" si="2"/>
        <v>1.0000000000000013</v>
      </c>
      <c r="I33">
        <f t="shared" si="3"/>
        <v>2</v>
      </c>
      <c r="J33" t="b">
        <f t="shared" si="4"/>
        <v>1</v>
      </c>
    </row>
    <row r="34" spans="1:10" x14ac:dyDescent="0.3">
      <c r="A34">
        <v>4.4581988832796924</v>
      </c>
      <c r="B34">
        <v>2.7496948961052112</v>
      </c>
      <c r="C34">
        <v>2</v>
      </c>
      <c r="D34">
        <v>0</v>
      </c>
      <c r="E34">
        <v>1</v>
      </c>
      <c r="F34">
        <f t="shared" si="0"/>
        <v>0.48379421084589569</v>
      </c>
      <c r="G34">
        <f t="shared" si="1"/>
        <v>0.51620578915410564</v>
      </c>
      <c r="H34">
        <f t="shared" si="2"/>
        <v>1.0000000000000013</v>
      </c>
      <c r="I34">
        <f t="shared" si="3"/>
        <v>2</v>
      </c>
      <c r="J34" t="b">
        <f t="shared" si="4"/>
        <v>1</v>
      </c>
    </row>
    <row r="35" spans="1:10" x14ac:dyDescent="0.3">
      <c r="A35">
        <v>3.5838038557849359</v>
      </c>
      <c r="B35">
        <v>2.9337811712175608</v>
      </c>
      <c r="C35">
        <v>2</v>
      </c>
      <c r="D35">
        <v>0</v>
      </c>
      <c r="E35">
        <v>1</v>
      </c>
      <c r="F35">
        <f t="shared" si="0"/>
        <v>0.63327742131969789</v>
      </c>
      <c r="G35">
        <f t="shared" si="1"/>
        <v>0.36672257868030317</v>
      </c>
      <c r="H35">
        <f t="shared" si="2"/>
        <v>1.0000000000000011</v>
      </c>
      <c r="I35">
        <f t="shared" si="3"/>
        <v>1</v>
      </c>
      <c r="J35" t="b">
        <f t="shared" si="4"/>
        <v>0</v>
      </c>
    </row>
    <row r="36" spans="1:10" x14ac:dyDescent="0.3">
      <c r="A36">
        <v>3.0963124218978919</v>
      </c>
      <c r="B36">
        <v>5.2756095202348661</v>
      </c>
      <c r="C36">
        <v>2</v>
      </c>
      <c r="D36">
        <v>0</v>
      </c>
      <c r="E36">
        <v>1</v>
      </c>
      <c r="F36">
        <f t="shared" si="0"/>
        <v>0.43521502614923513</v>
      </c>
      <c r="G36">
        <f t="shared" si="1"/>
        <v>0.56478497385076565</v>
      </c>
      <c r="H36">
        <f t="shared" si="2"/>
        <v>1.0000000000000009</v>
      </c>
      <c r="I36">
        <f t="shared" si="3"/>
        <v>2</v>
      </c>
      <c r="J36" t="b">
        <f t="shared" si="4"/>
        <v>1</v>
      </c>
    </row>
    <row r="37" spans="1:10" x14ac:dyDescent="0.3">
      <c r="A37">
        <v>4.6473419489338994</v>
      </c>
      <c r="B37">
        <v>6.432025212328881</v>
      </c>
      <c r="C37">
        <v>2</v>
      </c>
      <c r="D37">
        <v>0</v>
      </c>
      <c r="E37">
        <v>1</v>
      </c>
      <c r="F37">
        <f t="shared" si="0"/>
        <v>-1.6307262135790479E-2</v>
      </c>
      <c r="G37">
        <f t="shared" si="1"/>
        <v>1.0163072621357918</v>
      </c>
      <c r="H37">
        <f t="shared" si="2"/>
        <v>1.0000000000000013</v>
      </c>
      <c r="I37">
        <f t="shared" si="3"/>
        <v>2</v>
      </c>
      <c r="J37" t="b">
        <f t="shared" si="4"/>
        <v>1</v>
      </c>
    </row>
    <row r="38" spans="1:10" x14ac:dyDescent="0.3">
      <c r="A38">
        <v>4.1044952568918234</v>
      </c>
      <c r="B38">
        <v>3.2629204825789202</v>
      </c>
      <c r="C38">
        <v>2</v>
      </c>
      <c r="D38">
        <v>0</v>
      </c>
      <c r="E38">
        <v>1</v>
      </c>
      <c r="F38">
        <f t="shared" si="0"/>
        <v>0.48912257309195556</v>
      </c>
      <c r="G38">
        <f t="shared" si="1"/>
        <v>0.51087742690804561</v>
      </c>
      <c r="H38">
        <f t="shared" si="2"/>
        <v>1.0000000000000011</v>
      </c>
      <c r="I38">
        <f t="shared" si="3"/>
        <v>2</v>
      </c>
      <c r="J38" t="b">
        <f t="shared" si="4"/>
        <v>1</v>
      </c>
    </row>
    <row r="39" spans="1:10" x14ac:dyDescent="0.3">
      <c r="A39">
        <v>5.8435503079672344</v>
      </c>
      <c r="B39">
        <v>4.4044613888254389</v>
      </c>
      <c r="C39">
        <v>2</v>
      </c>
      <c r="D39">
        <v>0</v>
      </c>
      <c r="E39">
        <v>1</v>
      </c>
      <c r="F39">
        <f t="shared" si="0"/>
        <v>2.3508089720972736E-3</v>
      </c>
      <c r="G39">
        <f t="shared" si="1"/>
        <v>0.99764919102790439</v>
      </c>
      <c r="H39">
        <f t="shared" si="2"/>
        <v>1.0000000000000018</v>
      </c>
      <c r="I39">
        <f t="shared" si="3"/>
        <v>2</v>
      </c>
      <c r="J39" t="b">
        <f t="shared" si="4"/>
        <v>1</v>
      </c>
    </row>
    <row r="40" spans="1:10" x14ac:dyDescent="0.3">
      <c r="A40">
        <v>5.7020374798448756</v>
      </c>
      <c r="B40">
        <v>3.6549593106465181</v>
      </c>
      <c r="C40">
        <v>2</v>
      </c>
      <c r="D40">
        <v>0</v>
      </c>
      <c r="E40">
        <v>1</v>
      </c>
      <c r="F40">
        <f t="shared" si="0"/>
        <v>0.12447803148151776</v>
      </c>
      <c r="G40">
        <f t="shared" si="1"/>
        <v>0.87552196851848385</v>
      </c>
      <c r="H40">
        <f t="shared" si="2"/>
        <v>1.0000000000000016</v>
      </c>
      <c r="I40">
        <f t="shared" si="3"/>
        <v>2</v>
      </c>
      <c r="J40" t="b">
        <f t="shared" si="4"/>
        <v>1</v>
      </c>
    </row>
    <row r="41" spans="1:10" x14ac:dyDescent="0.3">
      <c r="A41">
        <v>3.8931195932527771</v>
      </c>
      <c r="B41">
        <v>4.1242074176843744</v>
      </c>
      <c r="C41">
        <v>2</v>
      </c>
      <c r="D41">
        <v>0</v>
      </c>
      <c r="E41">
        <v>1</v>
      </c>
      <c r="F41">
        <f t="shared" si="0"/>
        <v>0.4226122430167385</v>
      </c>
      <c r="G41">
        <f t="shared" si="1"/>
        <v>0.57738775698326261</v>
      </c>
      <c r="H41">
        <f t="shared" si="2"/>
        <v>1.0000000000000011</v>
      </c>
      <c r="I41">
        <f t="shared" si="3"/>
        <v>2</v>
      </c>
      <c r="J41" t="b">
        <f t="shared" si="4"/>
        <v>1</v>
      </c>
    </row>
    <row r="42" spans="1:10" x14ac:dyDescent="0.3">
      <c r="A42">
        <v>3.3644996720831841</v>
      </c>
      <c r="B42">
        <v>4.7015080427663634</v>
      </c>
      <c r="C42">
        <v>2</v>
      </c>
      <c r="D42">
        <v>0</v>
      </c>
      <c r="E42">
        <v>1</v>
      </c>
      <c r="F42">
        <f t="shared" si="0"/>
        <v>0.45441909646332657</v>
      </c>
      <c r="G42">
        <f t="shared" si="1"/>
        <v>0.54558090353667454</v>
      </c>
      <c r="H42">
        <f t="shared" si="2"/>
        <v>1.0000000000000011</v>
      </c>
      <c r="I42">
        <f t="shared" si="3"/>
        <v>2</v>
      </c>
      <c r="J42" t="b">
        <f t="shared" si="4"/>
        <v>1</v>
      </c>
    </row>
    <row r="43" spans="1:10" x14ac:dyDescent="0.3">
      <c r="A43">
        <v>3.4291965776938014</v>
      </c>
      <c r="B43">
        <v>3.4276652159896912</v>
      </c>
      <c r="C43">
        <v>2</v>
      </c>
      <c r="D43">
        <v>0</v>
      </c>
      <c r="E43">
        <v>1</v>
      </c>
      <c r="F43">
        <f t="shared" si="0"/>
        <v>0.60173211749676558</v>
      </c>
      <c r="G43">
        <f t="shared" si="1"/>
        <v>0.39826788250323514</v>
      </c>
      <c r="H43">
        <f t="shared" si="2"/>
        <v>1.0000000000000007</v>
      </c>
      <c r="I43">
        <f t="shared" si="3"/>
        <v>1</v>
      </c>
      <c r="J43" t="b">
        <f t="shared" si="4"/>
        <v>0</v>
      </c>
    </row>
    <row r="44" spans="1:10" x14ac:dyDescent="0.3">
      <c r="A44">
        <v>3.4846098161360715</v>
      </c>
      <c r="B44">
        <v>3.835129074199358</v>
      </c>
      <c r="C44">
        <v>2</v>
      </c>
      <c r="D44">
        <v>0</v>
      </c>
      <c r="E44">
        <v>1</v>
      </c>
      <c r="F44">
        <f t="shared" si="0"/>
        <v>0.53958640656513246</v>
      </c>
      <c r="G44">
        <f t="shared" si="1"/>
        <v>0.46041359343486854</v>
      </c>
      <c r="H44">
        <f t="shared" si="2"/>
        <v>1.0000000000000009</v>
      </c>
      <c r="I44">
        <f t="shared" si="3"/>
        <v>1</v>
      </c>
      <c r="J44" t="b">
        <f t="shared" si="4"/>
        <v>0</v>
      </c>
    </row>
    <row r="45" spans="1:10" x14ac:dyDescent="0.3">
      <c r="A45">
        <v>3.5127154761576094</v>
      </c>
      <c r="B45">
        <v>4.6867128377052722</v>
      </c>
      <c r="C45">
        <v>2</v>
      </c>
      <c r="D45">
        <v>0</v>
      </c>
      <c r="E45">
        <v>1</v>
      </c>
      <c r="F45">
        <f t="shared" si="0"/>
        <v>0.42701860169744943</v>
      </c>
      <c r="G45">
        <f t="shared" si="1"/>
        <v>0.57298139830255157</v>
      </c>
      <c r="H45">
        <f t="shared" si="2"/>
        <v>1.0000000000000009</v>
      </c>
      <c r="I45">
        <f t="shared" si="3"/>
        <v>2</v>
      </c>
      <c r="J45" t="b">
        <f t="shared" si="4"/>
        <v>1</v>
      </c>
    </row>
    <row r="46" spans="1:10" x14ac:dyDescent="0.3">
      <c r="A46">
        <v>4.3272327830927679</v>
      </c>
      <c r="B46">
        <v>2.8598392519634217</v>
      </c>
      <c r="C46">
        <v>2</v>
      </c>
      <c r="D46">
        <v>0</v>
      </c>
      <c r="E46">
        <v>1</v>
      </c>
      <c r="F46">
        <f t="shared" si="0"/>
        <v>0.49580675764768528</v>
      </c>
      <c r="G46">
        <f t="shared" si="1"/>
        <v>0.50419324235231588</v>
      </c>
      <c r="H46">
        <f t="shared" si="2"/>
        <v>1.0000000000000011</v>
      </c>
      <c r="I46">
        <f t="shared" si="3"/>
        <v>2</v>
      </c>
      <c r="J46" t="b">
        <f t="shared" si="4"/>
        <v>1</v>
      </c>
    </row>
    <row r="47" spans="1:10" x14ac:dyDescent="0.3">
      <c r="A47">
        <v>4.0219188223127276</v>
      </c>
      <c r="B47">
        <v>4.175426748683094</v>
      </c>
      <c r="C47">
        <v>2</v>
      </c>
      <c r="D47">
        <v>0</v>
      </c>
      <c r="E47">
        <v>1</v>
      </c>
      <c r="F47">
        <f t="shared" si="0"/>
        <v>0.39074873389034248</v>
      </c>
      <c r="G47">
        <f t="shared" si="1"/>
        <v>0.60925126610965863</v>
      </c>
      <c r="H47">
        <f t="shared" si="2"/>
        <v>1.0000000000000011</v>
      </c>
      <c r="I47">
        <f t="shared" si="3"/>
        <v>2</v>
      </c>
      <c r="J47" t="b">
        <f t="shared" si="4"/>
        <v>1</v>
      </c>
    </row>
    <row r="48" spans="1:10" x14ac:dyDescent="0.3">
      <c r="A48">
        <v>3.4937616065726615</v>
      </c>
      <c r="B48">
        <v>3.7125473782944027</v>
      </c>
      <c r="C48">
        <v>2</v>
      </c>
      <c r="D48">
        <v>0</v>
      </c>
      <c r="E48">
        <v>1</v>
      </c>
      <c r="F48">
        <f t="shared" si="0"/>
        <v>0.55318467977216401</v>
      </c>
      <c r="G48">
        <f t="shared" si="1"/>
        <v>0.44681532022783699</v>
      </c>
      <c r="H48">
        <f t="shared" si="2"/>
        <v>1.0000000000000009</v>
      </c>
      <c r="I48">
        <f t="shared" si="3"/>
        <v>1</v>
      </c>
      <c r="J48" t="b">
        <f t="shared" si="4"/>
        <v>0</v>
      </c>
    </row>
    <row r="49" spans="1:34" x14ac:dyDescent="0.3">
      <c r="A49">
        <v>3.5980272160522873</v>
      </c>
      <c r="B49">
        <v>4.0154147983266739</v>
      </c>
      <c r="C49">
        <v>2</v>
      </c>
      <c r="D49">
        <v>0</v>
      </c>
      <c r="E49">
        <v>1</v>
      </c>
      <c r="F49">
        <f t="shared" si="0"/>
        <v>0.49453958066433934</v>
      </c>
      <c r="G49">
        <f t="shared" si="1"/>
        <v>0.50546041933566155</v>
      </c>
      <c r="H49">
        <f t="shared" si="2"/>
        <v>1.0000000000000009</v>
      </c>
      <c r="I49">
        <f t="shared" si="3"/>
        <v>2</v>
      </c>
      <c r="J49" t="b">
        <f t="shared" si="4"/>
        <v>1</v>
      </c>
    </row>
    <row r="50" spans="1:34" x14ac:dyDescent="0.3">
      <c r="A50">
        <v>3.1503500496037304</v>
      </c>
      <c r="B50">
        <v>5.3998260328662582</v>
      </c>
      <c r="C50">
        <v>2</v>
      </c>
      <c r="D50">
        <v>0</v>
      </c>
      <c r="E50">
        <v>1</v>
      </c>
      <c r="F50">
        <f t="shared" si="0"/>
        <v>0.40893685034388094</v>
      </c>
      <c r="G50">
        <f t="shared" si="1"/>
        <v>0.59106314965611995</v>
      </c>
      <c r="H50">
        <f t="shared" si="2"/>
        <v>1.0000000000000009</v>
      </c>
      <c r="I50">
        <f t="shared" si="3"/>
        <v>2</v>
      </c>
      <c r="J50" t="b">
        <f t="shared" si="4"/>
        <v>1</v>
      </c>
    </row>
    <row r="51" spans="1:34" x14ac:dyDescent="0.3">
      <c r="A51">
        <v>3.9111832948983647</v>
      </c>
      <c r="B51">
        <v>3.7872305357304867</v>
      </c>
      <c r="C51">
        <v>2</v>
      </c>
      <c r="D51">
        <v>0</v>
      </c>
      <c r="E51">
        <v>1</v>
      </c>
      <c r="F51">
        <f t="shared" si="0"/>
        <v>0.461394435918005</v>
      </c>
      <c r="G51">
        <f t="shared" si="1"/>
        <v>0.53860556408199611</v>
      </c>
      <c r="H51">
        <f t="shared" si="2"/>
        <v>1.0000000000000011</v>
      </c>
      <c r="I51">
        <f t="shared" si="3"/>
        <v>2</v>
      </c>
      <c r="J51" t="b">
        <f t="shared" si="4"/>
        <v>1</v>
      </c>
    </row>
    <row r="52" spans="1:34" x14ac:dyDescent="0.3">
      <c r="O52" t="s">
        <v>5</v>
      </c>
      <c r="AC52" t="s">
        <v>5</v>
      </c>
    </row>
    <row r="53" spans="1:34" ht="15" thickBot="1" x14ac:dyDescent="0.35"/>
    <row r="54" spans="1:34" x14ac:dyDescent="0.3">
      <c r="O54" s="3" t="s">
        <v>6</v>
      </c>
      <c r="P54" s="3"/>
      <c r="AC54" s="3" t="s">
        <v>6</v>
      </c>
      <c r="AD54" s="3"/>
    </row>
    <row r="55" spans="1:34" x14ac:dyDescent="0.3">
      <c r="O55" t="s">
        <v>7</v>
      </c>
      <c r="P55">
        <v>0.52486534540641361</v>
      </c>
      <c r="AC55" t="s">
        <v>7</v>
      </c>
      <c r="AD55">
        <v>0.52486534540641361</v>
      </c>
    </row>
    <row r="56" spans="1:34" x14ac:dyDescent="0.3">
      <c r="O56" t="s">
        <v>8</v>
      </c>
      <c r="P56">
        <v>0.27548363080859389</v>
      </c>
      <c r="AC56" t="s">
        <v>8</v>
      </c>
      <c r="AD56">
        <v>0.27548363080859389</v>
      </c>
    </row>
    <row r="57" spans="1:34" x14ac:dyDescent="0.3">
      <c r="O57" t="s">
        <v>9</v>
      </c>
      <c r="P57">
        <v>0.24465314701321489</v>
      </c>
      <c r="AC57" t="s">
        <v>9</v>
      </c>
      <c r="AD57">
        <v>0.24465314701321489</v>
      </c>
    </row>
    <row r="58" spans="1:34" x14ac:dyDescent="0.3">
      <c r="O58" t="s">
        <v>10</v>
      </c>
      <c r="P58">
        <v>0.43009638776938586</v>
      </c>
      <c r="AC58" t="s">
        <v>10</v>
      </c>
      <c r="AD58">
        <v>0.43009638776938586</v>
      </c>
    </row>
    <row r="59" spans="1:34" ht="15" thickBot="1" x14ac:dyDescent="0.35">
      <c r="O59" s="1" t="s">
        <v>11</v>
      </c>
      <c r="P59" s="1">
        <v>50</v>
      </c>
      <c r="AC59" s="1" t="s">
        <v>11</v>
      </c>
      <c r="AD59" s="1">
        <v>50</v>
      </c>
    </row>
    <row r="61" spans="1:34" ht="15" thickBot="1" x14ac:dyDescent="0.35">
      <c r="O61" t="s">
        <v>12</v>
      </c>
      <c r="AC61" t="s">
        <v>12</v>
      </c>
    </row>
    <row r="62" spans="1:34" x14ac:dyDescent="0.3">
      <c r="O62" s="2"/>
      <c r="P62" s="2" t="s">
        <v>17</v>
      </c>
      <c r="Q62" s="2" t="s">
        <v>18</v>
      </c>
      <c r="R62" s="2" t="s">
        <v>19</v>
      </c>
      <c r="S62" s="2" t="s">
        <v>20</v>
      </c>
      <c r="T62" s="2" t="s">
        <v>21</v>
      </c>
      <c r="AC62" s="2"/>
      <c r="AD62" s="2" t="s">
        <v>17</v>
      </c>
      <c r="AE62" s="2" t="s">
        <v>18</v>
      </c>
      <c r="AF62" s="2" t="s">
        <v>19</v>
      </c>
      <c r="AG62" s="2" t="s">
        <v>20</v>
      </c>
      <c r="AH62" s="2" t="s">
        <v>21</v>
      </c>
    </row>
    <row r="63" spans="1:34" x14ac:dyDescent="0.3">
      <c r="O63" t="s">
        <v>13</v>
      </c>
      <c r="P63">
        <v>2</v>
      </c>
      <c r="Q63">
        <v>3.3058035697031265</v>
      </c>
      <c r="R63">
        <v>1.6529017848515632</v>
      </c>
      <c r="S63">
        <v>8.9354300320737945</v>
      </c>
      <c r="T63">
        <v>5.1420080019355489E-4</v>
      </c>
      <c r="AC63" t="s">
        <v>13</v>
      </c>
      <c r="AD63">
        <v>2</v>
      </c>
      <c r="AE63">
        <v>3.3058035697031265</v>
      </c>
      <c r="AF63">
        <v>1.6529017848515632</v>
      </c>
      <c r="AG63">
        <v>8.9354300320737945</v>
      </c>
      <c r="AH63">
        <v>5.1420080019355489E-4</v>
      </c>
    </row>
    <row r="64" spans="1:34" x14ac:dyDescent="0.3">
      <c r="O64" t="s">
        <v>14</v>
      </c>
      <c r="P64">
        <v>47</v>
      </c>
      <c r="Q64">
        <v>8.6941964302968735</v>
      </c>
      <c r="R64">
        <v>0.18498290277227392</v>
      </c>
      <c r="AC64" t="s">
        <v>14</v>
      </c>
      <c r="AD64">
        <v>47</v>
      </c>
      <c r="AE64">
        <v>8.6941964302968735</v>
      </c>
      <c r="AF64">
        <v>0.18498290277227392</v>
      </c>
    </row>
    <row r="65" spans="15:37" ht="15" thickBot="1" x14ac:dyDescent="0.35">
      <c r="O65" s="1" t="s">
        <v>15</v>
      </c>
      <c r="P65" s="1">
        <v>49</v>
      </c>
      <c r="Q65" s="1">
        <v>12</v>
      </c>
      <c r="R65" s="1"/>
      <c r="S65" s="1"/>
      <c r="T65" s="1"/>
      <c r="AC65" s="1" t="s">
        <v>15</v>
      </c>
      <c r="AD65" s="1">
        <v>49</v>
      </c>
      <c r="AE65" s="1">
        <v>12</v>
      </c>
      <c r="AF65" s="1"/>
      <c r="AG65" s="1"/>
      <c r="AH65" s="1"/>
    </row>
    <row r="66" spans="15:37" ht="15" thickBot="1" x14ac:dyDescent="0.35"/>
    <row r="67" spans="15:37" x14ac:dyDescent="0.3">
      <c r="O67" s="2"/>
      <c r="P67" s="2" t="s">
        <v>22</v>
      </c>
      <c r="Q67" s="2" t="s">
        <v>10</v>
      </c>
      <c r="R67" s="2" t="s">
        <v>23</v>
      </c>
      <c r="S67" s="2" t="s">
        <v>24</v>
      </c>
      <c r="T67" s="2" t="s">
        <v>25</v>
      </c>
      <c r="U67" s="2" t="s">
        <v>26</v>
      </c>
      <c r="V67" s="2" t="s">
        <v>27</v>
      </c>
      <c r="W67" s="2" t="s">
        <v>28</v>
      </c>
      <c r="AC67" s="2"/>
      <c r="AD67" s="2" t="s">
        <v>22</v>
      </c>
      <c r="AE67" s="2" t="s">
        <v>10</v>
      </c>
      <c r="AF67" s="2" t="s">
        <v>23</v>
      </c>
      <c r="AG67" s="2" t="s">
        <v>24</v>
      </c>
      <c r="AH67" s="2" t="s">
        <v>25</v>
      </c>
      <c r="AI67" s="2" t="s">
        <v>26</v>
      </c>
      <c r="AJ67" s="2" t="s">
        <v>27</v>
      </c>
      <c r="AK67" s="2" t="s">
        <v>28</v>
      </c>
    </row>
    <row r="68" spans="15:37" x14ac:dyDescent="0.3">
      <c r="O68" t="s">
        <v>16</v>
      </c>
      <c r="P68">
        <v>1.7094603635550398</v>
      </c>
      <c r="Q68">
        <v>0.27243866401871752</v>
      </c>
      <c r="R68">
        <v>6.2746613800660604</v>
      </c>
      <c r="S68">
        <v>1.0321887308059956E-7</v>
      </c>
      <c r="T68">
        <v>1.1613844656421737</v>
      </c>
      <c r="U68">
        <v>2.257536261467906</v>
      </c>
      <c r="V68">
        <v>1.1613844656421737</v>
      </c>
      <c r="W68">
        <v>2.257536261467906</v>
      </c>
      <c r="AC68" t="s">
        <v>16</v>
      </c>
      <c r="AD68">
        <v>-0.70946036355503994</v>
      </c>
      <c r="AE68">
        <v>0.27243866401871752</v>
      </c>
      <c r="AF68">
        <v>-2.6041104191668532</v>
      </c>
      <c r="AG68">
        <v>1.2291113912643085E-2</v>
      </c>
      <c r="AH68">
        <v>-1.257536261467906</v>
      </c>
      <c r="AI68">
        <v>-0.16138446564217379</v>
      </c>
      <c r="AJ68">
        <v>-1.257536261467906</v>
      </c>
      <c r="AK68">
        <v>-0.16138446564217379</v>
      </c>
    </row>
    <row r="69" spans="15:37" x14ac:dyDescent="0.3">
      <c r="O69" t="s">
        <v>0</v>
      </c>
      <c r="P69">
        <v>-0.197413648503103</v>
      </c>
      <c r="Q69">
        <v>6.4401227728310889E-2</v>
      </c>
      <c r="R69">
        <v>-3.0653708860323472</v>
      </c>
      <c r="S69">
        <v>3.5967689733739298E-3</v>
      </c>
      <c r="T69">
        <v>-0.3269722074580832</v>
      </c>
      <c r="U69">
        <v>-6.7855089548123443E-2</v>
      </c>
      <c r="V69">
        <v>-0.3269722074580832</v>
      </c>
      <c r="W69">
        <v>-6.7855089548123443E-2</v>
      </c>
      <c r="AC69" t="s">
        <v>0</v>
      </c>
      <c r="AD69">
        <v>0.19741364850310331</v>
      </c>
      <c r="AE69">
        <v>6.4401227728310889E-2</v>
      </c>
      <c r="AF69">
        <v>3.0653708860323472</v>
      </c>
      <c r="AG69">
        <v>3.5967689733739298E-3</v>
      </c>
      <c r="AH69">
        <v>6.7855089548123443E-2</v>
      </c>
      <c r="AI69">
        <v>0.3269722074580832</v>
      </c>
      <c r="AJ69">
        <v>6.7855089548123443E-2</v>
      </c>
      <c r="AK69">
        <v>0.3269722074580832</v>
      </c>
    </row>
    <row r="70" spans="15:37" ht="15" thickBot="1" x14ac:dyDescent="0.35">
      <c r="O70" s="1" t="s">
        <v>1</v>
      </c>
      <c r="P70" s="1">
        <v>-0.12567097749568601</v>
      </c>
      <c r="Q70" s="1">
        <v>6.2022255618364969E-2</v>
      </c>
      <c r="R70" s="1">
        <v>-2.0262239133798041</v>
      </c>
      <c r="S70" s="1">
        <v>4.8438306367424175E-2</v>
      </c>
      <c r="T70" s="1">
        <v>-0.25044366187605449</v>
      </c>
      <c r="U70" s="1">
        <v>-8.9829311531755551E-4</v>
      </c>
      <c r="V70" s="1">
        <v>-0.25044366187605449</v>
      </c>
      <c r="W70" s="1">
        <v>-8.9829311531755551E-4</v>
      </c>
      <c r="AC70" s="1" t="s">
        <v>1</v>
      </c>
      <c r="AD70" s="1">
        <v>0.12567097749568601</v>
      </c>
      <c r="AE70" s="1">
        <v>6.2022255618364969E-2</v>
      </c>
      <c r="AF70" s="1">
        <v>2.0262239133798041</v>
      </c>
      <c r="AG70" s="1">
        <v>4.8438306367424175E-2</v>
      </c>
      <c r="AH70" s="1">
        <v>8.9829311531755551E-4</v>
      </c>
      <c r="AI70" s="1">
        <v>0.25044366187605449</v>
      </c>
      <c r="AJ70" s="1">
        <v>8.9829311531755551E-4</v>
      </c>
      <c r="AK70" s="1">
        <v>0.25044366187605449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Safarpour</dc:creator>
  <cp:lastModifiedBy>Athar Safarpour</cp:lastModifiedBy>
  <dcterms:created xsi:type="dcterms:W3CDTF">2015-06-05T18:17:20Z</dcterms:created>
  <dcterms:modified xsi:type="dcterms:W3CDTF">2025-11-21T13:14:02Z</dcterms:modified>
</cp:coreProperties>
</file>